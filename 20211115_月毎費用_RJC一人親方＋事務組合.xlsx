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540" documentId="13_ncr:1_{771DC3A5-2FFC-4E6D-B99D-371C78A8B3E6}" xr6:coauthVersionLast="47" xr6:coauthVersionMax="47" xr10:uidLastSave="{F38C42F3-1C6C-4E21-B168-53475BFF715E}"/>
  <bookViews>
    <workbookView xWindow="29805" yWindow="-5100" windowWidth="15315" windowHeight="13305" tabRatio="811" firstSheet="2" activeTab="2" xr2:uid="{00000000-000D-0000-FFFF-FFFF00000000}"/>
  </bookViews>
  <sheets>
    <sheet name="MQ会計の考え方" sheetId="8" state="hidden" r:id="rId1"/>
    <sheet name="RJC日本一比較サイト合計" sheetId="7" state="hidden" r:id="rId2"/>
    <sheet name="一人親方RJC" sheetId="9" r:id="rId3"/>
    <sheet name="日本最大級" sheetId="12" r:id="rId4"/>
    <sheet name="事務組合RJC" sheetId="14" r:id="rId5"/>
    <sheet name="建設業許可" sheetId="11" r:id="rId6"/>
    <sheet name="特別加入" sheetId="15" r:id="rId7"/>
    <sheet name="事務組合" sheetId="10" state="hidden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9" i="14" l="1"/>
  <c r="AH49" i="14"/>
  <c r="AD49" i="14"/>
  <c r="AE49" i="14" s="1"/>
  <c r="Z49" i="14"/>
  <c r="AA49" i="14" s="1"/>
  <c r="U49" i="14"/>
  <c r="T49" i="14"/>
  <c r="V49" i="14" s="1"/>
  <c r="W49" i="14" s="1"/>
  <c r="N49" i="14"/>
  <c r="M49" i="14"/>
  <c r="P49" i="14" s="1"/>
  <c r="L49" i="14"/>
  <c r="K49" i="14"/>
  <c r="Q49" i="14" s="1"/>
  <c r="S49" i="14" s="1"/>
  <c r="F49" i="14"/>
  <c r="D49" i="14"/>
  <c r="E34" i="12"/>
  <c r="O49" i="14" l="1"/>
  <c r="AH50" i="9"/>
  <c r="AG50" i="9"/>
  <c r="AA50" i="9"/>
  <c r="X50" i="9"/>
  <c r="Y50" i="9" s="1"/>
  <c r="U50" i="9"/>
  <c r="T50" i="9"/>
  <c r="O50" i="9"/>
  <c r="N50" i="9"/>
  <c r="P50" i="9" s="1"/>
  <c r="Q50" i="9" s="1"/>
  <c r="J50" i="9"/>
  <c r="I50" i="9"/>
  <c r="G50" i="9"/>
  <c r="K50" i="9" s="1"/>
  <c r="M50" i="9" s="1"/>
  <c r="D50" i="9"/>
  <c r="AJ48" i="14"/>
  <c r="AH48" i="14"/>
  <c r="AD48" i="14"/>
  <c r="AE48" i="14" s="1"/>
  <c r="Z48" i="14"/>
  <c r="AA48" i="14" s="1"/>
  <c r="U48" i="14"/>
  <c r="T48" i="14"/>
  <c r="N48" i="14"/>
  <c r="M48" i="14"/>
  <c r="P48" i="14" s="1"/>
  <c r="L48" i="14"/>
  <c r="K48" i="14"/>
  <c r="Q48" i="14" s="1"/>
  <c r="S48" i="14" s="1"/>
  <c r="F48" i="14"/>
  <c r="D48" i="14"/>
  <c r="E33" i="12"/>
  <c r="V48" i="14" l="1"/>
  <c r="W48" i="14" s="1"/>
  <c r="O48" i="14"/>
  <c r="AH49" i="9"/>
  <c r="AG49" i="9"/>
  <c r="AA49" i="9"/>
  <c r="Y49" i="9"/>
  <c r="X49" i="9"/>
  <c r="T49" i="9"/>
  <c r="U49" i="9" s="1"/>
  <c r="O49" i="9"/>
  <c r="N49" i="9"/>
  <c r="J49" i="9"/>
  <c r="I49" i="9"/>
  <c r="G49" i="9"/>
  <c r="K49" i="9" s="1"/>
  <c r="M49" i="9" s="1"/>
  <c r="D49" i="9"/>
  <c r="AJ38" i="14"/>
  <c r="AJ39" i="14"/>
  <c r="AJ40" i="14"/>
  <c r="AJ41" i="14"/>
  <c r="AJ42" i="14"/>
  <c r="AJ43" i="14"/>
  <c r="AJ44" i="14"/>
  <c r="AJ45" i="14"/>
  <c r="AJ46" i="14"/>
  <c r="AJ47" i="14"/>
  <c r="AJ37" i="14"/>
  <c r="AP41" i="14"/>
  <c r="AP42" i="14"/>
  <c r="AP43" i="14"/>
  <c r="AQ43" i="14"/>
  <c r="AP44" i="14"/>
  <c r="AQ44" i="14"/>
  <c r="AP45" i="14"/>
  <c r="AQ45" i="14"/>
  <c r="AP46" i="14"/>
  <c r="AQ46" i="14"/>
  <c r="AP47" i="14"/>
  <c r="L47" i="14"/>
  <c r="M47" i="14"/>
  <c r="K47" i="14"/>
  <c r="AQ49" i="14" l="1"/>
  <c r="AP49" i="14"/>
  <c r="P49" i="9"/>
  <c r="Q49" i="9" s="1"/>
  <c r="AQ48" i="14"/>
  <c r="AP48" i="14"/>
  <c r="AQ47" i="14"/>
  <c r="AH47" i="14"/>
  <c r="AD47" i="14"/>
  <c r="AE47" i="14" s="1"/>
  <c r="Z47" i="14"/>
  <c r="AA47" i="14" s="1"/>
  <c r="U47" i="14"/>
  <c r="T47" i="14"/>
  <c r="N47" i="14"/>
  <c r="F47" i="14"/>
  <c r="D47" i="14"/>
  <c r="E32" i="12"/>
  <c r="P47" i="14" l="1"/>
  <c r="O47" i="14"/>
  <c r="Q47" i="14"/>
  <c r="S47" i="14" s="1"/>
  <c r="V47" i="14"/>
  <c r="W47" i="14" s="1"/>
  <c r="AH48" i="9"/>
  <c r="AG48" i="9"/>
  <c r="AA48" i="9"/>
  <c r="X48" i="9"/>
  <c r="Y48" i="9" s="1"/>
  <c r="T48" i="9"/>
  <c r="U48" i="9" s="1"/>
  <c r="O48" i="9"/>
  <c r="N48" i="9"/>
  <c r="P48" i="9" s="1"/>
  <c r="J48" i="9"/>
  <c r="I48" i="9"/>
  <c r="G48" i="9"/>
  <c r="K48" i="9" s="1"/>
  <c r="M48" i="9" s="1"/>
  <c r="D48" i="9"/>
  <c r="AH46" i="14"/>
  <c r="AD46" i="14"/>
  <c r="AE46" i="14" s="1"/>
  <c r="Z46" i="14"/>
  <c r="AA46" i="14" s="1"/>
  <c r="U46" i="14"/>
  <c r="T46" i="14"/>
  <c r="N46" i="14"/>
  <c r="F46" i="14"/>
  <c r="D46" i="14"/>
  <c r="AH45" i="14"/>
  <c r="AD45" i="14"/>
  <c r="AE45" i="14" s="1"/>
  <c r="Z45" i="14"/>
  <c r="AA45" i="14" s="1"/>
  <c r="U45" i="14"/>
  <c r="T45" i="14"/>
  <c r="N45" i="14"/>
  <c r="F45" i="14"/>
  <c r="D45" i="14"/>
  <c r="E31" i="12"/>
  <c r="E30" i="12"/>
  <c r="AH47" i="9"/>
  <c r="AG47" i="9"/>
  <c r="AA47" i="9"/>
  <c r="X47" i="9"/>
  <c r="Y47" i="9" s="1"/>
  <c r="T47" i="9"/>
  <c r="U47" i="9" s="1"/>
  <c r="O47" i="9"/>
  <c r="N47" i="9"/>
  <c r="K47" i="9"/>
  <c r="M47" i="9" s="1"/>
  <c r="J47" i="9"/>
  <c r="I47" i="9"/>
  <c r="G47" i="9"/>
  <c r="D47" i="9"/>
  <c r="AH46" i="9"/>
  <c r="AG46" i="9"/>
  <c r="AA46" i="9"/>
  <c r="X46" i="9"/>
  <c r="Y46" i="9" s="1"/>
  <c r="T46" i="9"/>
  <c r="U46" i="9" s="1"/>
  <c r="O46" i="9"/>
  <c r="N46" i="9"/>
  <c r="K46" i="9"/>
  <c r="M46" i="9" s="1"/>
  <c r="J46" i="9"/>
  <c r="I46" i="9"/>
  <c r="G46" i="9"/>
  <c r="D46" i="9"/>
  <c r="AH44" i="14"/>
  <c r="AD44" i="14"/>
  <c r="AE44" i="14" s="1"/>
  <c r="Z44" i="14"/>
  <c r="AA44" i="14" s="1"/>
  <c r="U44" i="14"/>
  <c r="T44" i="14"/>
  <c r="N44" i="14"/>
  <c r="F44" i="14"/>
  <c r="D44" i="14"/>
  <c r="E29" i="12"/>
  <c r="AH45" i="9"/>
  <c r="AG45" i="9"/>
  <c r="AA45" i="9"/>
  <c r="X45" i="9"/>
  <c r="Y45" i="9" s="1"/>
  <c r="T45" i="9"/>
  <c r="U45" i="9" s="1"/>
  <c r="O45" i="9"/>
  <c r="N45" i="9"/>
  <c r="J45" i="9"/>
  <c r="I45" i="9"/>
  <c r="G45" i="9"/>
  <c r="K45" i="9" s="1"/>
  <c r="M45" i="9" s="1"/>
  <c r="D45" i="9"/>
  <c r="D43" i="14"/>
  <c r="F43" i="14"/>
  <c r="N43" i="14"/>
  <c r="T43" i="14"/>
  <c r="U43" i="14"/>
  <c r="Z43" i="14"/>
  <c r="AD43" i="14"/>
  <c r="AE43" i="14" s="1"/>
  <c r="AH43" i="14"/>
  <c r="E28" i="12"/>
  <c r="AG44" i="9"/>
  <c r="AH44" i="9"/>
  <c r="D44" i="9"/>
  <c r="G44" i="9"/>
  <c r="K44" i="9" s="1"/>
  <c r="M44" i="9" s="1"/>
  <c r="I44" i="9"/>
  <c r="J44" i="9"/>
  <c r="N44" i="9"/>
  <c r="O44" i="9"/>
  <c r="T44" i="9"/>
  <c r="U44" i="9" s="1"/>
  <c r="X44" i="9"/>
  <c r="Y44" i="9" s="1"/>
  <c r="AA44" i="9"/>
  <c r="AH42" i="14"/>
  <c r="AD42" i="14"/>
  <c r="AE42" i="14" s="1"/>
  <c r="Z42" i="14"/>
  <c r="AA42" i="14" s="1"/>
  <c r="U42" i="14"/>
  <c r="T42" i="14"/>
  <c r="N42" i="14"/>
  <c r="F42" i="14"/>
  <c r="D42" i="14"/>
  <c r="E27" i="12"/>
  <c r="AH43" i="9"/>
  <c r="AG43" i="9"/>
  <c r="AA43" i="9"/>
  <c r="X43" i="9"/>
  <c r="Y43" i="9" s="1"/>
  <c r="T43" i="9"/>
  <c r="U43" i="9" s="1"/>
  <c r="O43" i="9"/>
  <c r="N43" i="9"/>
  <c r="J43" i="9"/>
  <c r="I43" i="9"/>
  <c r="G43" i="9"/>
  <c r="K43" i="9" s="1"/>
  <c r="M43" i="9" s="1"/>
  <c r="D43" i="9"/>
  <c r="AG42" i="9"/>
  <c r="AH42" i="9"/>
  <c r="AP40" i="14"/>
  <c r="P47" i="9" l="1"/>
  <c r="Q47" i="9" s="1"/>
  <c r="Q48" i="9"/>
  <c r="P46" i="9"/>
  <c r="Q46" i="9" s="1"/>
  <c r="V46" i="14"/>
  <c r="W46" i="14" s="1"/>
  <c r="V45" i="14"/>
  <c r="W45" i="14" s="1"/>
  <c r="P45" i="9"/>
  <c r="Q45" i="9" s="1"/>
  <c r="P44" i="9"/>
  <c r="Q44" i="9" s="1"/>
  <c r="V44" i="14"/>
  <c r="W44" i="14" s="1"/>
  <c r="AA43" i="14"/>
  <c r="V43" i="14"/>
  <c r="W43" i="14" s="1"/>
  <c r="P43" i="9"/>
  <c r="Q43" i="9" s="1"/>
  <c r="V42" i="14"/>
  <c r="W42" i="14" s="1"/>
  <c r="AG41" i="9"/>
  <c r="AH41" i="9"/>
  <c r="AH41" i="14"/>
  <c r="AD41" i="14"/>
  <c r="AE41" i="14" s="1"/>
  <c r="Z41" i="14"/>
  <c r="AA41" i="14" s="1"/>
  <c r="U41" i="14"/>
  <c r="T41" i="14"/>
  <c r="N41" i="14"/>
  <c r="F41" i="14"/>
  <c r="D41" i="14"/>
  <c r="E26" i="12"/>
  <c r="AH40" i="14"/>
  <c r="AH39" i="14"/>
  <c r="AG40" i="9"/>
  <c r="AH40" i="9"/>
  <c r="V41" i="14" l="1"/>
  <c r="W41" i="14" s="1"/>
  <c r="AG39" i="9"/>
  <c r="AH39" i="9"/>
  <c r="E4" i="15"/>
  <c r="E25" i="12"/>
  <c r="AA42" i="9" l="1"/>
  <c r="X42" i="9"/>
  <c r="Y42" i="9" s="1"/>
  <c r="T42" i="9"/>
  <c r="U42" i="9" s="1"/>
  <c r="O42" i="9"/>
  <c r="N42" i="9"/>
  <c r="J42" i="9"/>
  <c r="I42" i="9"/>
  <c r="G42" i="9"/>
  <c r="K42" i="9" s="1"/>
  <c r="M42" i="9" s="1"/>
  <c r="D42" i="9"/>
  <c r="AA41" i="9"/>
  <c r="X41" i="9"/>
  <c r="Y41" i="9" s="1"/>
  <c r="T41" i="9"/>
  <c r="U41" i="9" s="1"/>
  <c r="O41" i="9"/>
  <c r="N41" i="9"/>
  <c r="J41" i="9"/>
  <c r="I41" i="9"/>
  <c r="G41" i="9"/>
  <c r="K41" i="9" s="1"/>
  <c r="M41" i="9" s="1"/>
  <c r="D41" i="9"/>
  <c r="P41" i="9" l="1"/>
  <c r="Q41" i="9" s="1"/>
  <c r="P42" i="9"/>
  <c r="E3" i="15"/>
  <c r="Q42" i="9" l="1"/>
  <c r="AD40" i="14"/>
  <c r="AE40" i="14" s="1"/>
  <c r="Z40" i="14"/>
  <c r="AA40" i="14" s="1"/>
  <c r="U40" i="14"/>
  <c r="T40" i="14"/>
  <c r="N40" i="14"/>
  <c r="F40" i="14"/>
  <c r="D40" i="14"/>
  <c r="E24" i="12"/>
  <c r="V40" i="14" l="1"/>
  <c r="W40" i="14" s="1"/>
  <c r="J40" i="9" l="1"/>
  <c r="I40" i="9"/>
  <c r="J39" i="9"/>
  <c r="I39" i="9"/>
  <c r="G40" i="9"/>
  <c r="K40" i="9" s="1"/>
  <c r="M40" i="9" s="1"/>
  <c r="G39" i="9"/>
  <c r="K39" i="9" s="1"/>
  <c r="M39" i="9" s="1"/>
  <c r="AG38" i="9"/>
  <c r="AH38" i="9"/>
  <c r="AA40" i="9"/>
  <c r="X40" i="9"/>
  <c r="Y40" i="9" s="1"/>
  <c r="T40" i="9"/>
  <c r="U40" i="9" s="1"/>
  <c r="O40" i="9"/>
  <c r="N40" i="9"/>
  <c r="D40" i="9"/>
  <c r="P40" i="9" l="1"/>
  <c r="Q40" i="9" s="1"/>
  <c r="E23" i="12"/>
  <c r="E16" i="10"/>
  <c r="AD39" i="14"/>
  <c r="AE39" i="14" s="1"/>
  <c r="Z39" i="14"/>
  <c r="AA39" i="14" s="1"/>
  <c r="U39" i="14"/>
  <c r="T39" i="14"/>
  <c r="N39" i="14"/>
  <c r="F39" i="14"/>
  <c r="D39" i="14"/>
  <c r="AG37" i="9"/>
  <c r="AH37" i="9"/>
  <c r="J38" i="9"/>
  <c r="I38" i="9"/>
  <c r="G38" i="9"/>
  <c r="K38" i="9" s="1"/>
  <c r="M38" i="9" s="1"/>
  <c r="AA39" i="9"/>
  <c r="X39" i="9"/>
  <c r="Y39" i="9" s="1"/>
  <c r="T39" i="9"/>
  <c r="U39" i="9" s="1"/>
  <c r="O39" i="9"/>
  <c r="N39" i="9"/>
  <c r="D39" i="9"/>
  <c r="V39" i="14" l="1"/>
  <c r="W39" i="14" s="1"/>
  <c r="P39" i="9"/>
  <c r="Q39" i="9" l="1"/>
  <c r="Z50" i="9"/>
  <c r="AB50" i="9" s="1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4" i="14"/>
  <c r="O4" i="14" s="1"/>
  <c r="M5" i="14"/>
  <c r="O5" i="14" s="1"/>
  <c r="M6" i="14"/>
  <c r="M7" i="14"/>
  <c r="M3" i="14"/>
  <c r="AD38" i="14"/>
  <c r="AE38" i="14" s="1"/>
  <c r="Z38" i="14"/>
  <c r="U38" i="14"/>
  <c r="T38" i="14"/>
  <c r="D38" i="14"/>
  <c r="AD37" i="14"/>
  <c r="AE37" i="14" s="1"/>
  <c r="Z37" i="14"/>
  <c r="U37" i="14"/>
  <c r="T37" i="14"/>
  <c r="K37" i="14"/>
  <c r="D37" i="14"/>
  <c r="AD36" i="14"/>
  <c r="AE36" i="14" s="1"/>
  <c r="Z36" i="14"/>
  <c r="U36" i="14"/>
  <c r="T36" i="14"/>
  <c r="K36" i="14"/>
  <c r="D36" i="14"/>
  <c r="AD35" i="14"/>
  <c r="AE35" i="14" s="1"/>
  <c r="Z35" i="14"/>
  <c r="U35" i="14"/>
  <c r="T35" i="14"/>
  <c r="K35" i="14"/>
  <c r="D35" i="14"/>
  <c r="AD34" i="14"/>
  <c r="AE34" i="14" s="1"/>
  <c r="Z34" i="14"/>
  <c r="U34" i="14"/>
  <c r="T34" i="14"/>
  <c r="K34" i="14"/>
  <c r="D34" i="14"/>
  <c r="AD33" i="14"/>
  <c r="AE33" i="14" s="1"/>
  <c r="Z33" i="14"/>
  <c r="U33" i="14"/>
  <c r="T33" i="14"/>
  <c r="K33" i="14"/>
  <c r="D33" i="14"/>
  <c r="AD32" i="14"/>
  <c r="AE32" i="14" s="1"/>
  <c r="Z32" i="14"/>
  <c r="U32" i="14"/>
  <c r="T32" i="14"/>
  <c r="K32" i="14"/>
  <c r="D32" i="14"/>
  <c r="AD31" i="14"/>
  <c r="AE31" i="14" s="1"/>
  <c r="Z31" i="14"/>
  <c r="U31" i="14"/>
  <c r="T31" i="14"/>
  <c r="K31" i="14"/>
  <c r="D31" i="14"/>
  <c r="AD30" i="14"/>
  <c r="AE30" i="14" s="1"/>
  <c r="Z30" i="14"/>
  <c r="U30" i="14"/>
  <c r="T30" i="14"/>
  <c r="K30" i="14"/>
  <c r="D30" i="14"/>
  <c r="AD29" i="14"/>
  <c r="AE29" i="14" s="1"/>
  <c r="Z29" i="14"/>
  <c r="U29" i="14"/>
  <c r="T29" i="14"/>
  <c r="K29" i="14"/>
  <c r="D29" i="14"/>
  <c r="AD28" i="14"/>
  <c r="AE28" i="14" s="1"/>
  <c r="Z28" i="14"/>
  <c r="U28" i="14"/>
  <c r="T28" i="14"/>
  <c r="K28" i="14"/>
  <c r="D28" i="14"/>
  <c r="AD27" i="14"/>
  <c r="AE27" i="14" s="1"/>
  <c r="Z27" i="14"/>
  <c r="U27" i="14"/>
  <c r="T27" i="14"/>
  <c r="K27" i="14"/>
  <c r="D27" i="14"/>
  <c r="AD26" i="14"/>
  <c r="AE26" i="14" s="1"/>
  <c r="Z26" i="14"/>
  <c r="U26" i="14"/>
  <c r="T26" i="14"/>
  <c r="K26" i="14"/>
  <c r="D26" i="14"/>
  <c r="AD25" i="14"/>
  <c r="AE25" i="14" s="1"/>
  <c r="Z25" i="14"/>
  <c r="U25" i="14"/>
  <c r="T25" i="14"/>
  <c r="K25" i="14"/>
  <c r="D25" i="14"/>
  <c r="AD24" i="14"/>
  <c r="AE24" i="14" s="1"/>
  <c r="Z24" i="14"/>
  <c r="U24" i="14"/>
  <c r="T24" i="14"/>
  <c r="K24" i="14"/>
  <c r="D24" i="14"/>
  <c r="AD23" i="14"/>
  <c r="AE23" i="14" s="1"/>
  <c r="Z23" i="14"/>
  <c r="U23" i="14"/>
  <c r="T23" i="14"/>
  <c r="K23" i="14"/>
  <c r="D23" i="14"/>
  <c r="AD22" i="14"/>
  <c r="AE22" i="14" s="1"/>
  <c r="Z22" i="14"/>
  <c r="U22" i="14"/>
  <c r="T22" i="14"/>
  <c r="K22" i="14"/>
  <c r="D22" i="14"/>
  <c r="AD21" i="14"/>
  <c r="AE21" i="14" s="1"/>
  <c r="Z21" i="14"/>
  <c r="U21" i="14"/>
  <c r="T21" i="14"/>
  <c r="K21" i="14"/>
  <c r="D21" i="14"/>
  <c r="AD20" i="14"/>
  <c r="AE20" i="14" s="1"/>
  <c r="Z20" i="14"/>
  <c r="U20" i="14"/>
  <c r="T20" i="14"/>
  <c r="K20" i="14"/>
  <c r="D20" i="14"/>
  <c r="AD19" i="14"/>
  <c r="AE19" i="14" s="1"/>
  <c r="Z19" i="14"/>
  <c r="U19" i="14"/>
  <c r="T19" i="14"/>
  <c r="K19" i="14"/>
  <c r="D19" i="14"/>
  <c r="AD18" i="14"/>
  <c r="AE18" i="14" s="1"/>
  <c r="Z18" i="14"/>
  <c r="U18" i="14"/>
  <c r="T18" i="14"/>
  <c r="K18" i="14"/>
  <c r="D18" i="14"/>
  <c r="AD17" i="14"/>
  <c r="AE17" i="14" s="1"/>
  <c r="Z17" i="14"/>
  <c r="U17" i="14"/>
  <c r="T17" i="14"/>
  <c r="D17" i="14"/>
  <c r="AD16" i="14"/>
  <c r="AE16" i="14" s="1"/>
  <c r="Z16" i="14"/>
  <c r="U16" i="14"/>
  <c r="T16" i="14"/>
  <c r="D16" i="14"/>
  <c r="AD15" i="14"/>
  <c r="AE15" i="14" s="1"/>
  <c r="Z15" i="14"/>
  <c r="U15" i="14"/>
  <c r="T15" i="14"/>
  <c r="D15" i="14"/>
  <c r="AD14" i="14"/>
  <c r="AE14" i="14" s="1"/>
  <c r="Z14" i="14"/>
  <c r="U14" i="14"/>
  <c r="T14" i="14"/>
  <c r="AD13" i="14"/>
  <c r="AE13" i="14" s="1"/>
  <c r="Z13" i="14"/>
  <c r="U13" i="14"/>
  <c r="T13" i="14"/>
  <c r="AD12" i="14"/>
  <c r="AE12" i="14" s="1"/>
  <c r="Z12" i="14"/>
  <c r="U12" i="14"/>
  <c r="T12" i="14"/>
  <c r="AD11" i="14"/>
  <c r="AE11" i="14" s="1"/>
  <c r="Z11" i="14"/>
  <c r="U11" i="14"/>
  <c r="T11" i="14"/>
  <c r="AD10" i="14"/>
  <c r="AE10" i="14" s="1"/>
  <c r="Z10" i="14"/>
  <c r="U10" i="14"/>
  <c r="T10" i="14"/>
  <c r="AD9" i="14"/>
  <c r="AE9" i="14" s="1"/>
  <c r="Z9" i="14"/>
  <c r="U9" i="14"/>
  <c r="T9" i="14"/>
  <c r="AD8" i="14"/>
  <c r="AE8" i="14" s="1"/>
  <c r="Z8" i="14"/>
  <c r="U8" i="14"/>
  <c r="T8" i="14"/>
  <c r="AD7" i="14"/>
  <c r="AE7" i="14" s="1"/>
  <c r="Z7" i="14"/>
  <c r="U7" i="14"/>
  <c r="T7" i="14"/>
  <c r="AD6" i="14"/>
  <c r="AE6" i="14" s="1"/>
  <c r="Z6" i="14"/>
  <c r="U6" i="14"/>
  <c r="T6" i="14"/>
  <c r="AD5" i="14"/>
  <c r="AE5" i="14" s="1"/>
  <c r="Z5" i="14"/>
  <c r="U5" i="14"/>
  <c r="T5" i="14"/>
  <c r="AD4" i="14"/>
  <c r="AE4" i="14" s="1"/>
  <c r="Z4" i="14"/>
  <c r="U4" i="14"/>
  <c r="T4" i="14"/>
  <c r="AD3" i="14"/>
  <c r="AE3" i="14" s="1"/>
  <c r="Z3" i="14"/>
  <c r="U3" i="14"/>
  <c r="T3" i="14"/>
  <c r="AA38" i="14" l="1"/>
  <c r="AI49" i="14"/>
  <c r="AK49" i="14" s="1"/>
  <c r="AI47" i="14"/>
  <c r="AK47" i="14" s="1"/>
  <c r="AI48" i="14"/>
  <c r="AK48" i="14" s="1"/>
  <c r="AP39" i="14"/>
  <c r="AQ42" i="14"/>
  <c r="AQ41" i="14"/>
  <c r="AI45" i="14"/>
  <c r="AK45" i="14" s="1"/>
  <c r="AI46" i="14"/>
  <c r="AK46" i="14" s="1"/>
  <c r="AI44" i="14"/>
  <c r="AK44" i="14" s="1"/>
  <c r="AI43" i="14"/>
  <c r="AK43" i="14" s="1"/>
  <c r="AI42" i="14"/>
  <c r="AK42" i="14" s="1"/>
  <c r="AQ40" i="14"/>
  <c r="AI37" i="14"/>
  <c r="AQ39" i="14"/>
  <c r="AI39" i="14"/>
  <c r="AI40" i="14"/>
  <c r="AI41" i="14"/>
  <c r="AK41" i="14" s="1"/>
  <c r="AI38" i="14"/>
  <c r="AP37" i="14"/>
  <c r="O27" i="14"/>
  <c r="O15" i="14"/>
  <c r="O21" i="14"/>
  <c r="AP38" i="14"/>
  <c r="Q5" i="14"/>
  <c r="S5" i="14" s="1"/>
  <c r="V13" i="14"/>
  <c r="W13" i="14" s="1"/>
  <c r="P34" i="14"/>
  <c r="P28" i="14"/>
  <c r="O22" i="14"/>
  <c r="O16" i="14"/>
  <c r="AQ37" i="14"/>
  <c r="P33" i="14"/>
  <c r="AQ38" i="14"/>
  <c r="O10" i="14"/>
  <c r="O9" i="14"/>
  <c r="AA11" i="14"/>
  <c r="V25" i="14"/>
  <c r="W25" i="14" s="1"/>
  <c r="AQ18" i="14"/>
  <c r="AA7" i="14"/>
  <c r="V9" i="14"/>
  <c r="W9" i="14" s="1"/>
  <c r="AA17" i="14"/>
  <c r="P32" i="14"/>
  <c r="O26" i="14"/>
  <c r="P20" i="14"/>
  <c r="O14" i="14"/>
  <c r="Q18" i="14"/>
  <c r="S18" i="14" s="1"/>
  <c r="V11" i="14"/>
  <c r="W11" i="14" s="1"/>
  <c r="AA23" i="14"/>
  <c r="AA35" i="14"/>
  <c r="Q13" i="14"/>
  <c r="S13" i="14" s="1"/>
  <c r="Q7" i="14"/>
  <c r="S7" i="14" s="1"/>
  <c r="Q29" i="14"/>
  <c r="S29" i="14" s="1"/>
  <c r="Q30" i="14"/>
  <c r="S30" i="14" s="1"/>
  <c r="AP30" i="14"/>
  <c r="O3" i="14"/>
  <c r="AQ14" i="14"/>
  <c r="AA33" i="14"/>
  <c r="V4" i="14"/>
  <c r="W4" i="14" s="1"/>
  <c r="V3" i="14"/>
  <c r="W3" i="14" s="1"/>
  <c r="V14" i="14"/>
  <c r="W14" i="14" s="1"/>
  <c r="V15" i="14"/>
  <c r="W15" i="14" s="1"/>
  <c r="V29" i="14"/>
  <c r="W29" i="14" s="1"/>
  <c r="Q14" i="14"/>
  <c r="S14" i="14" s="1"/>
  <c r="Q8" i="14"/>
  <c r="S8" i="14" s="1"/>
  <c r="AA26" i="14"/>
  <c r="P22" i="14"/>
  <c r="V38" i="14"/>
  <c r="V27" i="14"/>
  <c r="W27" i="14" s="1"/>
  <c r="P25" i="14"/>
  <c r="O33" i="14"/>
  <c r="Q12" i="14"/>
  <c r="S12" i="14" s="1"/>
  <c r="Q6" i="14"/>
  <c r="S6" i="14" s="1"/>
  <c r="Q22" i="14"/>
  <c r="S22" i="14" s="1"/>
  <c r="Q23" i="14"/>
  <c r="S23" i="14" s="1"/>
  <c r="V30" i="14"/>
  <c r="W30" i="14" s="1"/>
  <c r="Q31" i="14"/>
  <c r="S31" i="14" s="1"/>
  <c r="Q32" i="14"/>
  <c r="S32" i="14" s="1"/>
  <c r="Q34" i="14"/>
  <c r="S34" i="14" s="1"/>
  <c r="P36" i="14"/>
  <c r="AQ35" i="14"/>
  <c r="AP26" i="14"/>
  <c r="P18" i="14"/>
  <c r="O12" i="14"/>
  <c r="O20" i="14"/>
  <c r="Q17" i="14"/>
  <c r="S17" i="14" s="1"/>
  <c r="Q11" i="14"/>
  <c r="S11" i="14" s="1"/>
  <c r="Q20" i="14"/>
  <c r="S20" i="14" s="1"/>
  <c r="P31" i="14"/>
  <c r="P19" i="14"/>
  <c r="AA9" i="14"/>
  <c r="AA14" i="14"/>
  <c r="AA15" i="14"/>
  <c r="Q25" i="14"/>
  <c r="S25" i="14" s="1"/>
  <c r="Q26" i="14"/>
  <c r="S26" i="14" s="1"/>
  <c r="Q35" i="14"/>
  <c r="S35" i="14" s="1"/>
  <c r="O7" i="14"/>
  <c r="P35" i="14"/>
  <c r="P29" i="14"/>
  <c r="P23" i="14"/>
  <c r="O17" i="14"/>
  <c r="O11" i="14"/>
  <c r="Q15" i="14"/>
  <c r="S15" i="14" s="1"/>
  <c r="Q9" i="14"/>
  <c r="S9" i="14" s="1"/>
  <c r="Q16" i="14"/>
  <c r="S16" i="14" s="1"/>
  <c r="Q10" i="14"/>
  <c r="S10" i="14" s="1"/>
  <c r="Q4" i="14"/>
  <c r="S4" i="14" s="1"/>
  <c r="AP21" i="14"/>
  <c r="V37" i="14"/>
  <c r="W37" i="14" s="1"/>
  <c r="Q19" i="14"/>
  <c r="S19" i="14" s="1"/>
  <c r="AA27" i="14"/>
  <c r="P37" i="14"/>
  <c r="AP15" i="14"/>
  <c r="AP16" i="14"/>
  <c r="AA20" i="14"/>
  <c r="AA21" i="14"/>
  <c r="V26" i="14"/>
  <c r="W26" i="14" s="1"/>
  <c r="Q27" i="14"/>
  <c r="S27" i="14" s="1"/>
  <c r="Q28" i="14"/>
  <c r="S28" i="14" s="1"/>
  <c r="AP29" i="14"/>
  <c r="Q37" i="14"/>
  <c r="S37" i="14" s="1"/>
  <c r="AP35" i="14"/>
  <c r="AP28" i="14"/>
  <c r="Q36" i="14"/>
  <c r="S36" i="14" s="1"/>
  <c r="Q24" i="14"/>
  <c r="S24" i="14" s="1"/>
  <c r="Q3" i="14"/>
  <c r="S3" i="14" s="1"/>
  <c r="V16" i="14"/>
  <c r="W16" i="14" s="1"/>
  <c r="V17" i="14"/>
  <c r="W17" i="14" s="1"/>
  <c r="O32" i="14"/>
  <c r="O36" i="14"/>
  <c r="P27" i="14"/>
  <c r="P21" i="14"/>
  <c r="P17" i="14"/>
  <c r="P15" i="14"/>
  <c r="P13" i="14"/>
  <c r="P11" i="14"/>
  <c r="P9" i="14"/>
  <c r="P7" i="14"/>
  <c r="P5" i="14"/>
  <c r="P3" i="14"/>
  <c r="AA24" i="14"/>
  <c r="AA36" i="14"/>
  <c r="AA6" i="14"/>
  <c r="O35" i="14"/>
  <c r="O37" i="14"/>
  <c r="O25" i="14"/>
  <c r="O19" i="14"/>
  <c r="P26" i="14"/>
  <c r="O13" i="14"/>
  <c r="V19" i="14"/>
  <c r="W19" i="14" s="1"/>
  <c r="V20" i="14"/>
  <c r="W20" i="14" s="1"/>
  <c r="V31" i="14"/>
  <c r="W31" i="14" s="1"/>
  <c r="V32" i="14"/>
  <c r="W32" i="14" s="1"/>
  <c r="O31" i="14"/>
  <c r="O30" i="14"/>
  <c r="O18" i="14"/>
  <c r="Q33" i="14"/>
  <c r="S33" i="14" s="1"/>
  <c r="Q21" i="14"/>
  <c r="S21" i="14" s="1"/>
  <c r="V21" i="14"/>
  <c r="W21" i="14" s="1"/>
  <c r="V33" i="14"/>
  <c r="W33" i="14" s="1"/>
  <c r="AA8" i="14"/>
  <c r="O24" i="14"/>
  <c r="O29" i="14"/>
  <c r="P30" i="14"/>
  <c r="P24" i="14"/>
  <c r="P16" i="14"/>
  <c r="P14" i="14"/>
  <c r="P12" i="14"/>
  <c r="P10" i="14"/>
  <c r="P8" i="14"/>
  <c r="P6" i="14"/>
  <c r="P4" i="14"/>
  <c r="V6" i="14"/>
  <c r="W6" i="14" s="1"/>
  <c r="V35" i="14"/>
  <c r="W35" i="14" s="1"/>
  <c r="O34" i="14"/>
  <c r="O23" i="14"/>
  <c r="O28" i="14"/>
  <c r="O8" i="14"/>
  <c r="O6" i="14"/>
  <c r="V7" i="14"/>
  <c r="W7" i="14" s="1"/>
  <c r="V8" i="14"/>
  <c r="W8" i="14" s="1"/>
  <c r="V22" i="14"/>
  <c r="W22" i="14" s="1"/>
  <c r="V5" i="14"/>
  <c r="W5" i="14" s="1"/>
  <c r="V12" i="14"/>
  <c r="W12" i="14" s="1"/>
  <c r="V18" i="14"/>
  <c r="W18" i="14" s="1"/>
  <c r="V23" i="14"/>
  <c r="W23" i="14" s="1"/>
  <c r="AA3" i="14"/>
  <c r="AA12" i="14"/>
  <c r="V24" i="14"/>
  <c r="W24" i="14" s="1"/>
  <c r="V10" i="14"/>
  <c r="W10" i="14" s="1"/>
  <c r="AA5" i="14"/>
  <c r="V28" i="14"/>
  <c r="W28" i="14" s="1"/>
  <c r="V34" i="14"/>
  <c r="W34" i="14" s="1"/>
  <c r="V36" i="14"/>
  <c r="W36" i="14" s="1"/>
  <c r="AQ15" i="14"/>
  <c r="AQ20" i="14"/>
  <c r="AQ13" i="14"/>
  <c r="AQ21" i="14"/>
  <c r="AA18" i="14"/>
  <c r="AQ28" i="14"/>
  <c r="AQ26" i="14"/>
  <c r="AP23" i="14"/>
  <c r="AA34" i="14"/>
  <c r="AA19" i="14"/>
  <c r="AQ25" i="14"/>
  <c r="AQ34" i="14"/>
  <c r="AP19" i="14"/>
  <c r="AA30" i="14"/>
  <c r="AP36" i="14"/>
  <c r="AQ33" i="14"/>
  <c r="AA13" i="14"/>
  <c r="AP22" i="14"/>
  <c r="AA25" i="14"/>
  <c r="AQ27" i="14"/>
  <c r="AA29" i="14"/>
  <c r="AP34" i="14"/>
  <c r="AQ19" i="14"/>
  <c r="AQ29" i="14"/>
  <c r="AP11" i="14"/>
  <c r="AP17" i="14"/>
  <c r="AQ22" i="14"/>
  <c r="AQ23" i="14"/>
  <c r="AP24" i="14"/>
  <c r="AA28" i="14"/>
  <c r="AQ30" i="14"/>
  <c r="AP31" i="14"/>
  <c r="AQ36" i="14"/>
  <c r="AP10" i="14"/>
  <c r="AQ16" i="14"/>
  <c r="AP12" i="14"/>
  <c r="AP13" i="14"/>
  <c r="AP14" i="14"/>
  <c r="AQ17" i="14"/>
  <c r="AP18" i="14"/>
  <c r="AA22" i="14"/>
  <c r="AQ24" i="14"/>
  <c r="AP25" i="14"/>
  <c r="AQ31" i="14"/>
  <c r="AP32" i="14"/>
  <c r="AQ32" i="14"/>
  <c r="AP33" i="14"/>
  <c r="AA37" i="14"/>
  <c r="AA10" i="14"/>
  <c r="AA16" i="14"/>
  <c r="AP20" i="14"/>
  <c r="AP27" i="14"/>
  <c r="AA31" i="14"/>
  <c r="AA32" i="14"/>
  <c r="AA4" i="14"/>
  <c r="E22" i="12"/>
  <c r="E15" i="10"/>
  <c r="W38" i="14" l="1"/>
  <c r="AK40" i="14"/>
  <c r="AK39" i="14"/>
  <c r="AK37" i="14"/>
  <c r="AK38" i="14"/>
  <c r="J37" i="9"/>
  <c r="I37" i="9"/>
  <c r="G37" i="9"/>
  <c r="K37" i="9" s="1"/>
  <c r="M37" i="9" s="1"/>
  <c r="AA38" i="9"/>
  <c r="X38" i="9"/>
  <c r="Y38" i="9" s="1"/>
  <c r="T38" i="9"/>
  <c r="U38" i="9" s="1"/>
  <c r="O38" i="9"/>
  <c r="N38" i="9"/>
  <c r="D38" i="9"/>
  <c r="P38" i="9" l="1"/>
  <c r="Z49" i="9" s="1"/>
  <c r="AB49" i="9" s="1"/>
  <c r="AG36" i="9"/>
  <c r="AH36" i="9"/>
  <c r="Q38" i="9" l="1"/>
  <c r="E3" i="12"/>
  <c r="E4" i="12"/>
  <c r="E5" i="12"/>
  <c r="E6" i="12"/>
  <c r="E7" i="12"/>
  <c r="E8" i="12"/>
  <c r="E9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12" i="10" l="1"/>
  <c r="E13" i="10"/>
  <c r="E14" i="10"/>
  <c r="AG35" i="9" l="1"/>
  <c r="AH35" i="9"/>
  <c r="I36" i="9" l="1"/>
  <c r="J36" i="9"/>
  <c r="G36" i="9"/>
  <c r="K36" i="9" s="1"/>
  <c r="M36" i="9" s="1"/>
  <c r="AA37" i="9"/>
  <c r="X37" i="9"/>
  <c r="Y37" i="9" s="1"/>
  <c r="T37" i="9"/>
  <c r="U37" i="9" s="1"/>
  <c r="O37" i="9"/>
  <c r="N37" i="9"/>
  <c r="D37" i="9"/>
  <c r="P37" i="9" l="1"/>
  <c r="AG34" i="9"/>
  <c r="AH34" i="9"/>
  <c r="Q37" i="9" l="1"/>
  <c r="Z48" i="9"/>
  <c r="AB48" i="9" s="1"/>
  <c r="J35" i="9"/>
  <c r="I35" i="9"/>
  <c r="G35" i="9"/>
  <c r="K35" i="9" s="1"/>
  <c r="M35" i="9" s="1"/>
  <c r="AA36" i="9"/>
  <c r="X36" i="9"/>
  <c r="Y36" i="9" s="1"/>
  <c r="T36" i="9"/>
  <c r="U36" i="9" s="1"/>
  <c r="O36" i="9"/>
  <c r="N36" i="9"/>
  <c r="D36" i="9"/>
  <c r="P36" i="9" l="1"/>
  <c r="Z47" i="9" s="1"/>
  <c r="AB47" i="9" s="1"/>
  <c r="J34" i="9"/>
  <c r="I34" i="9"/>
  <c r="G34" i="9"/>
  <c r="K34" i="9" s="1"/>
  <c r="M34" i="9" s="1"/>
  <c r="AA35" i="9"/>
  <c r="X35" i="9"/>
  <c r="Y35" i="9" s="1"/>
  <c r="T35" i="9"/>
  <c r="U35" i="9" s="1"/>
  <c r="O35" i="9"/>
  <c r="N35" i="9"/>
  <c r="D35" i="9"/>
  <c r="Q36" i="9" l="1"/>
  <c r="P35" i="9"/>
  <c r="AG33" i="9"/>
  <c r="AH33" i="9"/>
  <c r="Q35" i="9" l="1"/>
  <c r="Z46" i="9"/>
  <c r="AB46" i="9" s="1"/>
  <c r="E4" i="10"/>
  <c r="E5" i="10"/>
  <c r="E6" i="10"/>
  <c r="E7" i="10"/>
  <c r="E8" i="10"/>
  <c r="E9" i="10"/>
  <c r="E10" i="10"/>
  <c r="E11" i="10"/>
  <c r="E3" i="10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" i="9"/>
  <c r="AG32" i="9" l="1"/>
  <c r="AH32" i="9"/>
  <c r="J33" i="9"/>
  <c r="I33" i="9"/>
  <c r="G33" i="9"/>
  <c r="K33" i="9" s="1"/>
  <c r="M33" i="9" s="1"/>
  <c r="D34" i="9"/>
  <c r="N34" i="9"/>
  <c r="O34" i="9"/>
  <c r="U34" i="9"/>
  <c r="X34" i="9"/>
  <c r="Y34" i="9" s="1"/>
  <c r="AA34" i="9"/>
  <c r="P34" i="9" l="1"/>
  <c r="Z45" i="9" s="1"/>
  <c r="AB45" i="9" s="1"/>
  <c r="J32" i="9"/>
  <c r="I32" i="9"/>
  <c r="G32" i="9"/>
  <c r="K32" i="9" s="1"/>
  <c r="M32" i="9" s="1"/>
  <c r="Q34" i="9" l="1"/>
  <c r="AA33" i="9"/>
  <c r="X33" i="9"/>
  <c r="Y33" i="9" s="1"/>
  <c r="U33" i="9"/>
  <c r="O33" i="9"/>
  <c r="N33" i="9"/>
  <c r="D33" i="9"/>
  <c r="AA32" i="9"/>
  <c r="X32" i="9"/>
  <c r="Y32" i="9" s="1"/>
  <c r="U32" i="9"/>
  <c r="O32" i="9"/>
  <c r="N32" i="9"/>
  <c r="D32" i="9"/>
  <c r="P33" i="9" l="1"/>
  <c r="P32" i="9"/>
  <c r="Q33" i="9" l="1"/>
  <c r="Z44" i="9"/>
  <c r="AB44" i="9" s="1"/>
  <c r="Q32" i="9"/>
  <c r="Z43" i="9"/>
  <c r="AB43" i="9" s="1"/>
  <c r="AG31" i="9"/>
  <c r="AH31" i="9"/>
  <c r="I31" i="9" l="1"/>
  <c r="J31" i="9"/>
  <c r="G31" i="9"/>
  <c r="K31" i="9" s="1"/>
  <c r="M31" i="9" s="1"/>
  <c r="AG29" i="9" l="1"/>
  <c r="AH29" i="9"/>
  <c r="AG30" i="9"/>
  <c r="AH30" i="9"/>
  <c r="G30" i="9" l="1"/>
  <c r="K30" i="9" s="1"/>
  <c r="M30" i="9" s="1"/>
  <c r="I30" i="9"/>
  <c r="J30" i="9"/>
  <c r="AA31" i="9" l="1"/>
  <c r="X31" i="9"/>
  <c r="Y31" i="9" s="1"/>
  <c r="U31" i="9"/>
  <c r="O31" i="9"/>
  <c r="N31" i="9"/>
  <c r="D31" i="9"/>
  <c r="P31" i="9" l="1"/>
  <c r="G29" i="9"/>
  <c r="K29" i="9" s="1"/>
  <c r="M29" i="9" s="1"/>
  <c r="I29" i="9"/>
  <c r="J29" i="9"/>
  <c r="AA30" i="9"/>
  <c r="X30" i="9"/>
  <c r="Y30" i="9" s="1"/>
  <c r="U30" i="9"/>
  <c r="O30" i="9"/>
  <c r="N30" i="9"/>
  <c r="D30" i="9"/>
  <c r="Q31" i="9" l="1"/>
  <c r="Z42" i="9"/>
  <c r="AB42" i="9" s="1"/>
  <c r="P30" i="9"/>
  <c r="Z41" i="9" s="1"/>
  <c r="AB41" i="9" s="1"/>
  <c r="AG28" i="9"/>
  <c r="AH28" i="9"/>
  <c r="Q30" i="9" l="1"/>
  <c r="I28" i="9"/>
  <c r="J28" i="9"/>
  <c r="G28" i="9"/>
  <c r="K28" i="9" s="1"/>
  <c r="M28" i="9" s="1"/>
  <c r="AG27" i="9"/>
  <c r="AH27" i="9"/>
  <c r="AA29" i="9"/>
  <c r="X29" i="9"/>
  <c r="Y29" i="9" s="1"/>
  <c r="U29" i="9"/>
  <c r="O29" i="9"/>
  <c r="N29" i="9"/>
  <c r="D29" i="9"/>
  <c r="P29" i="9" l="1"/>
  <c r="Z40" i="9" s="1"/>
  <c r="AB40" i="9" s="1"/>
  <c r="I27" i="9"/>
  <c r="J27" i="9"/>
  <c r="G27" i="9"/>
  <c r="K27" i="9" s="1"/>
  <c r="M27" i="9" s="1"/>
  <c r="AG26" i="9"/>
  <c r="AH26" i="9"/>
  <c r="D28" i="9"/>
  <c r="N28" i="9"/>
  <c r="O28" i="9"/>
  <c r="U28" i="9"/>
  <c r="X28" i="9"/>
  <c r="Y28" i="9" s="1"/>
  <c r="AA28" i="9"/>
  <c r="P28" i="9" l="1"/>
  <c r="Q29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Q28" i="9" l="1"/>
  <c r="Z39" i="9"/>
  <c r="AB39" i="9" s="1"/>
  <c r="AA14" i="9"/>
  <c r="AA15" i="9"/>
  <c r="AA16" i="9"/>
  <c r="AA17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A19" i="9"/>
  <c r="AA20" i="9"/>
  <c r="AA21" i="9"/>
  <c r="AA22" i="9"/>
  <c r="AA23" i="9"/>
  <c r="AA24" i="9"/>
  <c r="AA25" i="9"/>
  <c r="AA26" i="9"/>
  <c r="AA27" i="9"/>
  <c r="AA18" i="9"/>
  <c r="X27" i="9" l="1"/>
  <c r="Y27" i="9" s="1"/>
  <c r="U27" i="9"/>
  <c r="O27" i="9"/>
  <c r="N27" i="9"/>
  <c r="X26" i="9"/>
  <c r="Y26" i="9" s="1"/>
  <c r="U26" i="9"/>
  <c r="O26" i="9"/>
  <c r="N26" i="9"/>
  <c r="J26" i="9"/>
  <c r="I26" i="9"/>
  <c r="G26" i="9"/>
  <c r="K26" i="9" s="1"/>
  <c r="M26" i="9" s="1"/>
  <c r="X25" i="9"/>
  <c r="Y25" i="9" s="1"/>
  <c r="U25" i="9"/>
  <c r="O25" i="9"/>
  <c r="N25" i="9"/>
  <c r="J25" i="9"/>
  <c r="I25" i="9"/>
  <c r="G25" i="9"/>
  <c r="K25" i="9" s="1"/>
  <c r="M25" i="9" s="1"/>
  <c r="X24" i="9"/>
  <c r="Y24" i="9" s="1"/>
  <c r="U24" i="9"/>
  <c r="O24" i="9"/>
  <c r="N24" i="9"/>
  <c r="J24" i="9"/>
  <c r="I24" i="9"/>
  <c r="G24" i="9"/>
  <c r="K24" i="9" s="1"/>
  <c r="M24" i="9" s="1"/>
  <c r="X23" i="9"/>
  <c r="Y23" i="9" s="1"/>
  <c r="U23" i="9"/>
  <c r="O23" i="9"/>
  <c r="N23" i="9"/>
  <c r="J23" i="9"/>
  <c r="I23" i="9"/>
  <c r="G23" i="9"/>
  <c r="K23" i="9" s="1"/>
  <c r="M23" i="9" s="1"/>
  <c r="X22" i="9"/>
  <c r="Y22" i="9" s="1"/>
  <c r="U22" i="9"/>
  <c r="O22" i="9"/>
  <c r="N22" i="9"/>
  <c r="J22" i="9"/>
  <c r="I22" i="9"/>
  <c r="G22" i="9"/>
  <c r="K22" i="9" s="1"/>
  <c r="M22" i="9" s="1"/>
  <c r="X21" i="9"/>
  <c r="Y21" i="9" s="1"/>
  <c r="U21" i="9"/>
  <c r="O21" i="9"/>
  <c r="N21" i="9"/>
  <c r="J21" i="9"/>
  <c r="I21" i="9"/>
  <c r="G21" i="9"/>
  <c r="K21" i="9" s="1"/>
  <c r="M21" i="9" s="1"/>
  <c r="X20" i="9"/>
  <c r="Y20" i="9" s="1"/>
  <c r="U20" i="9"/>
  <c r="O20" i="9"/>
  <c r="N20" i="9"/>
  <c r="J20" i="9"/>
  <c r="I20" i="9"/>
  <c r="G20" i="9"/>
  <c r="K20" i="9" s="1"/>
  <c r="M20" i="9" s="1"/>
  <c r="X19" i="9"/>
  <c r="Y19" i="9" s="1"/>
  <c r="U19" i="9"/>
  <c r="O19" i="9"/>
  <c r="N19" i="9"/>
  <c r="J19" i="9"/>
  <c r="I19" i="9"/>
  <c r="G19" i="9"/>
  <c r="K19" i="9" s="1"/>
  <c r="M19" i="9" s="1"/>
  <c r="X18" i="9"/>
  <c r="U18" i="9"/>
  <c r="O18" i="9"/>
  <c r="N18" i="9"/>
  <c r="J18" i="9"/>
  <c r="I18" i="9"/>
  <c r="G18" i="9"/>
  <c r="K18" i="9" s="1"/>
  <c r="M18" i="9" s="1"/>
  <c r="X17" i="9"/>
  <c r="Y17" i="9" s="1"/>
  <c r="U17" i="9"/>
  <c r="O17" i="9"/>
  <c r="N17" i="9"/>
  <c r="X16" i="9"/>
  <c r="Y16" i="9" s="1"/>
  <c r="U16" i="9"/>
  <c r="O16" i="9"/>
  <c r="N16" i="9"/>
  <c r="X15" i="9"/>
  <c r="Y15" i="9" s="1"/>
  <c r="U15" i="9"/>
  <c r="O15" i="9"/>
  <c r="N15" i="9"/>
  <c r="X14" i="9"/>
  <c r="Y14" i="9" s="1"/>
  <c r="U14" i="9"/>
  <c r="O14" i="9"/>
  <c r="N14" i="9"/>
  <c r="X13" i="9"/>
  <c r="Y13" i="9" s="1"/>
  <c r="U13" i="9"/>
  <c r="O13" i="9"/>
  <c r="N13" i="9"/>
  <c r="X12" i="9"/>
  <c r="Y12" i="9" s="1"/>
  <c r="U12" i="9"/>
  <c r="O12" i="9"/>
  <c r="N12" i="9"/>
  <c r="X11" i="9"/>
  <c r="Y11" i="9" s="1"/>
  <c r="U11" i="9"/>
  <c r="O11" i="9"/>
  <c r="N11" i="9"/>
  <c r="X10" i="9"/>
  <c r="Y10" i="9" s="1"/>
  <c r="U10" i="9"/>
  <c r="O10" i="9"/>
  <c r="N10" i="9"/>
  <c r="X9" i="9"/>
  <c r="Y9" i="9" s="1"/>
  <c r="U9" i="9"/>
  <c r="O9" i="9"/>
  <c r="N9" i="9"/>
  <c r="X8" i="9"/>
  <c r="Y8" i="9" s="1"/>
  <c r="U8" i="9"/>
  <c r="O8" i="9"/>
  <c r="N8" i="9"/>
  <c r="X7" i="9"/>
  <c r="Y7" i="9" s="1"/>
  <c r="U7" i="9"/>
  <c r="O7" i="9"/>
  <c r="N7" i="9"/>
  <c r="X6" i="9"/>
  <c r="Y6" i="9" s="1"/>
  <c r="U6" i="9"/>
  <c r="O6" i="9"/>
  <c r="N6" i="9"/>
  <c r="X5" i="9"/>
  <c r="Y5" i="9" s="1"/>
  <c r="U5" i="9"/>
  <c r="O5" i="9"/>
  <c r="N5" i="9"/>
  <c r="X4" i="9"/>
  <c r="Y4" i="9" s="1"/>
  <c r="U4" i="9"/>
  <c r="O4" i="9"/>
  <c r="N4" i="9"/>
  <c r="X3" i="9"/>
  <c r="Y3" i="9" s="1"/>
  <c r="U3" i="9"/>
  <c r="O3" i="9"/>
  <c r="N3" i="9"/>
  <c r="D15" i="7"/>
  <c r="D16" i="7"/>
  <c r="D17" i="7"/>
  <c r="C18" i="7"/>
  <c r="D18" i="7" s="1"/>
  <c r="G18" i="7"/>
  <c r="D19" i="7"/>
  <c r="G19" i="7"/>
  <c r="D20" i="7"/>
  <c r="G20" i="7"/>
  <c r="D21" i="7"/>
  <c r="G21" i="7"/>
  <c r="D22" i="7"/>
  <c r="G22" i="7"/>
  <c r="D23" i="7"/>
  <c r="G23" i="7"/>
  <c r="D24" i="7"/>
  <c r="G24" i="7"/>
  <c r="D25" i="7"/>
  <c r="G25" i="7"/>
  <c r="D26" i="7"/>
  <c r="G26" i="7"/>
  <c r="D27" i="7"/>
  <c r="P18" i="9" l="1"/>
  <c r="Q18" i="9" s="1"/>
  <c r="P23" i="9"/>
  <c r="Q23" i="9" s="1"/>
  <c r="P3" i="9"/>
  <c r="Q3" i="9" s="1"/>
  <c r="P4" i="9"/>
  <c r="Q4" i="9" s="1"/>
  <c r="P14" i="9"/>
  <c r="Q14" i="9" s="1"/>
  <c r="P16" i="9"/>
  <c r="Q16" i="9" s="1"/>
  <c r="P17" i="9"/>
  <c r="Q17" i="9" s="1"/>
  <c r="P8" i="9"/>
  <c r="Q8" i="9" s="1"/>
  <c r="P19" i="9"/>
  <c r="P12" i="9"/>
  <c r="Q12" i="9" s="1"/>
  <c r="P7" i="9"/>
  <c r="Q7" i="9" s="1"/>
  <c r="P10" i="9"/>
  <c r="Q10" i="9" s="1"/>
  <c r="P21" i="9"/>
  <c r="P22" i="9"/>
  <c r="P5" i="9"/>
  <c r="Q5" i="9" s="1"/>
  <c r="P15" i="9"/>
  <c r="Q15" i="9" s="1"/>
  <c r="P24" i="9"/>
  <c r="P6" i="9"/>
  <c r="P9" i="9"/>
  <c r="Q9" i="9" s="1"/>
  <c r="P13" i="9"/>
  <c r="P26" i="9"/>
  <c r="P11" i="9"/>
  <c r="P20" i="9"/>
  <c r="P25" i="9"/>
  <c r="P27" i="9"/>
  <c r="Z38" i="9" s="1"/>
  <c r="AB38" i="9" s="1"/>
  <c r="Y18" i="9"/>
  <c r="N19" i="7"/>
  <c r="N20" i="7"/>
  <c r="N21" i="7"/>
  <c r="N22" i="7"/>
  <c r="N23" i="7"/>
  <c r="N24" i="7"/>
  <c r="N25" i="7"/>
  <c r="N26" i="7"/>
  <c r="N18" i="7"/>
  <c r="M19" i="7"/>
  <c r="M20" i="7"/>
  <c r="M21" i="7"/>
  <c r="M22" i="7"/>
  <c r="M23" i="7"/>
  <c r="M24" i="7"/>
  <c r="M25" i="7"/>
  <c r="M26" i="7"/>
  <c r="M18" i="7"/>
  <c r="K19" i="7"/>
  <c r="O19" i="7" s="1"/>
  <c r="Q19" i="7" s="1"/>
  <c r="K20" i="7"/>
  <c r="O20" i="7" s="1"/>
  <c r="Q20" i="7" s="1"/>
  <c r="K21" i="7"/>
  <c r="O21" i="7" s="1"/>
  <c r="Q21" i="7" s="1"/>
  <c r="K22" i="7"/>
  <c r="O22" i="7" s="1"/>
  <c r="Q22" i="7" s="1"/>
  <c r="K23" i="7"/>
  <c r="O23" i="7" s="1"/>
  <c r="Q23" i="7" s="1"/>
  <c r="K24" i="7"/>
  <c r="O24" i="7" s="1"/>
  <c r="Q24" i="7" s="1"/>
  <c r="K25" i="7"/>
  <c r="O25" i="7" s="1"/>
  <c r="Q25" i="7" s="1"/>
  <c r="K26" i="7"/>
  <c r="O26" i="7" s="1"/>
  <c r="Q26" i="7" s="1"/>
  <c r="K18" i="7"/>
  <c r="O18" i="7" s="1"/>
  <c r="Q18" i="7" s="1"/>
  <c r="N15" i="8"/>
  <c r="N9" i="8"/>
  <c r="G6" i="8"/>
  <c r="F6" i="8"/>
  <c r="D6" i="8"/>
  <c r="H6" i="8" s="1"/>
  <c r="J6" i="8" s="1"/>
  <c r="Q24" i="9" l="1"/>
  <c r="Z35" i="9"/>
  <c r="AB35" i="9" s="1"/>
  <c r="Z37" i="9"/>
  <c r="AB37" i="9" s="1"/>
  <c r="Q25" i="9"/>
  <c r="Z36" i="9"/>
  <c r="AB36" i="9" s="1"/>
  <c r="Z34" i="9"/>
  <c r="AB34" i="9" s="1"/>
  <c r="Z32" i="9"/>
  <c r="AB32" i="9" s="1"/>
  <c r="Q22" i="9"/>
  <c r="Z33" i="9"/>
  <c r="AB33" i="9" s="1"/>
  <c r="Q21" i="9"/>
  <c r="Q19" i="9"/>
  <c r="Z30" i="9"/>
  <c r="AB30" i="9" s="1"/>
  <c r="Q20" i="9"/>
  <c r="Z31" i="9"/>
  <c r="AB31" i="9" s="1"/>
  <c r="Z29" i="9"/>
  <c r="AB29" i="9" s="1"/>
  <c r="Q27" i="9"/>
  <c r="Z28" i="9"/>
  <c r="AB28" i="9" s="1"/>
  <c r="Z18" i="9"/>
  <c r="AB18" i="9" s="1"/>
  <c r="Z24" i="9"/>
  <c r="AB24" i="9" s="1"/>
  <c r="Z25" i="9"/>
  <c r="AB25" i="9" s="1"/>
  <c r="Z23" i="9"/>
  <c r="AB23" i="9" s="1"/>
  <c r="Q13" i="9"/>
  <c r="Z20" i="9"/>
  <c r="AB20" i="9" s="1"/>
  <c r="Z21" i="9"/>
  <c r="AB21" i="9" s="1"/>
  <c r="Q11" i="9"/>
  <c r="Z14" i="9"/>
  <c r="AB14" i="9" s="1"/>
  <c r="Q6" i="9"/>
  <c r="Z15" i="9"/>
  <c r="AB15" i="9" s="1"/>
  <c r="Z16" i="9"/>
  <c r="AB16" i="9" s="1"/>
  <c r="Z26" i="9"/>
  <c r="AB26" i="9" s="1"/>
  <c r="Q26" i="9"/>
  <c r="Z19" i="9"/>
  <c r="AB19" i="9" s="1"/>
  <c r="Z27" i="9"/>
  <c r="AB27" i="9" s="1"/>
  <c r="Z22" i="9"/>
  <c r="AB22" i="9" s="1"/>
  <c r="Z17" i="9"/>
  <c r="AB17" i="9" s="1"/>
  <c r="R27" i="7"/>
  <c r="S27" i="7"/>
  <c r="X27" i="7"/>
  <c r="Y27" i="7" s="1"/>
  <c r="AB27" i="7"/>
  <c r="AC27" i="7" s="1"/>
  <c r="T27" i="7" l="1"/>
  <c r="U27" i="7" s="1"/>
  <c r="AK25" i="7"/>
  <c r="AL25" i="7"/>
  <c r="R26" i="7" l="1"/>
  <c r="S26" i="7"/>
  <c r="X26" i="7"/>
  <c r="Y26" i="7" s="1"/>
  <c r="AB26" i="7"/>
  <c r="AC26" i="7" s="1"/>
  <c r="T26" i="7" l="1"/>
  <c r="AL24" i="7"/>
  <c r="AK24" i="7"/>
  <c r="U26" i="7" l="1"/>
  <c r="H26" i="7"/>
  <c r="X18" i="7"/>
  <c r="S25" i="7" l="1"/>
  <c r="R25" i="7"/>
  <c r="AB25" i="7"/>
  <c r="AC25" i="7" s="1"/>
  <c r="X25" i="7"/>
  <c r="Y25" i="7" s="1"/>
  <c r="T25" i="7" l="1"/>
  <c r="H25" i="7" s="1"/>
  <c r="AK23" i="7"/>
  <c r="U25" i="7" l="1"/>
  <c r="AK22" i="7"/>
  <c r="S24" i="7"/>
  <c r="R24" i="7"/>
  <c r="AB24" i="7"/>
  <c r="AC24" i="7" s="1"/>
  <c r="X24" i="7"/>
  <c r="Y24" i="7" s="1"/>
  <c r="T24" i="7" l="1"/>
  <c r="H24" i="7" s="1"/>
  <c r="X23" i="7"/>
  <c r="Y23" i="7" s="1"/>
  <c r="AB23" i="7"/>
  <c r="AC23" i="7" s="1"/>
  <c r="R23" i="7"/>
  <c r="S23" i="7"/>
  <c r="U24" i="7" l="1"/>
  <c r="T23" i="7"/>
  <c r="H23" i="7" s="1"/>
  <c r="AK21" i="7"/>
  <c r="U23" i="7" l="1"/>
  <c r="X3" i="7"/>
  <c r="AB4" i="7" l="1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9" i="7"/>
  <c r="X20" i="7"/>
  <c r="X21" i="7"/>
  <c r="X22" i="7"/>
  <c r="AC22" i="7" l="1"/>
  <c r="Y22" i="7" l="1"/>
  <c r="S22" i="7"/>
  <c r="R22" i="7"/>
  <c r="AL9" i="7"/>
  <c r="AL10" i="7"/>
  <c r="AL11" i="7"/>
  <c r="AL12" i="7"/>
  <c r="AL13" i="7"/>
  <c r="AL14" i="7"/>
  <c r="AL15" i="7"/>
  <c r="AL16" i="7"/>
  <c r="AL17" i="7"/>
  <c r="AL8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5" i="7"/>
  <c r="T22" i="7" l="1"/>
  <c r="H22" i="7" s="1"/>
  <c r="U22" i="7" l="1"/>
  <c r="R21" i="7"/>
  <c r="AC21" i="7"/>
  <c r="S21" i="7"/>
  <c r="Y21" i="7"/>
  <c r="T21" i="7" l="1"/>
  <c r="H21" i="7" s="1"/>
  <c r="R20" i="7"/>
  <c r="AC20" i="7"/>
  <c r="S20" i="7"/>
  <c r="Y20" i="7"/>
  <c r="U21" i="7" l="1"/>
  <c r="T20" i="7"/>
  <c r="H20" i="7" s="1"/>
  <c r="Y19" i="7"/>
  <c r="R19" i="7"/>
  <c r="AC19" i="7"/>
  <c r="S19" i="7"/>
  <c r="AE15" i="7"/>
  <c r="AE16" i="7"/>
  <c r="AE17" i="7"/>
  <c r="AE14" i="7"/>
  <c r="T19" i="7" l="1"/>
  <c r="H19" i="7" s="1"/>
  <c r="U20" i="7"/>
  <c r="AE26" i="7" l="1"/>
  <c r="AE27" i="7"/>
  <c r="Y18" i="7"/>
  <c r="AE25" i="7"/>
  <c r="AL23" i="7"/>
  <c r="AL22" i="7"/>
  <c r="AE24" i="7"/>
  <c r="AE23" i="7"/>
  <c r="AL21" i="7"/>
  <c r="AE22" i="7"/>
  <c r="AK20" i="7"/>
  <c r="AL20" i="7"/>
  <c r="AK18" i="7"/>
  <c r="AL18" i="7"/>
  <c r="AL19" i="7"/>
  <c r="AK19" i="7"/>
  <c r="AE20" i="7"/>
  <c r="AE21" i="7"/>
  <c r="U19" i="7"/>
  <c r="AE18" i="7"/>
  <c r="AE19" i="7"/>
  <c r="R16" i="7"/>
  <c r="R12" i="7"/>
  <c r="R8" i="7"/>
  <c r="R4" i="7"/>
  <c r="S5" i="7" l="1"/>
  <c r="S9" i="7"/>
  <c r="S13" i="7"/>
  <c r="S17" i="7"/>
  <c r="S4" i="7"/>
  <c r="T4" i="7" s="1"/>
  <c r="S8" i="7"/>
  <c r="S12" i="7"/>
  <c r="S16" i="7"/>
  <c r="R10" i="7"/>
  <c r="R14" i="7"/>
  <c r="R18" i="7"/>
  <c r="S3" i="7"/>
  <c r="S7" i="7"/>
  <c r="S11" i="7"/>
  <c r="R5" i="7"/>
  <c r="R9" i="7"/>
  <c r="R13" i="7"/>
  <c r="R17" i="7"/>
  <c r="R3" i="7"/>
  <c r="S15" i="7"/>
  <c r="S6" i="7"/>
  <c r="R6" i="7"/>
  <c r="R15" i="7"/>
  <c r="R11" i="7"/>
  <c r="R7" i="7"/>
  <c r="T7" i="7" s="1"/>
  <c r="S14" i="7"/>
  <c r="S18" i="7"/>
  <c r="S10" i="7"/>
  <c r="T6" i="7" l="1"/>
  <c r="T5" i="7"/>
  <c r="T3" i="7"/>
  <c r="U3" i="7" s="1"/>
  <c r="T17" i="7"/>
  <c r="U17" i="7" s="1"/>
  <c r="T15" i="7"/>
  <c r="U15" i="7" s="1"/>
  <c r="T11" i="7"/>
  <c r="T9" i="7"/>
  <c r="U9" i="7" s="1"/>
  <c r="T16" i="7"/>
  <c r="T18" i="7"/>
  <c r="H18" i="7" s="1"/>
  <c r="T12" i="7"/>
  <c r="U12" i="7" s="1"/>
  <c r="T14" i="7"/>
  <c r="U14" i="7" s="1"/>
  <c r="T13" i="7"/>
  <c r="T10" i="7"/>
  <c r="T8" i="7"/>
  <c r="U8" i="7" s="1"/>
  <c r="U5" i="7"/>
  <c r="U4" i="7"/>
  <c r="U16" i="7" l="1"/>
  <c r="AD27" i="7"/>
  <c r="AF27" i="7" s="1"/>
  <c r="AD26" i="7"/>
  <c r="AF26" i="7" s="1"/>
  <c r="AD25" i="7"/>
  <c r="AF25" i="7" s="1"/>
  <c r="U13" i="7"/>
  <c r="AD24" i="7"/>
  <c r="AF24" i="7" s="1"/>
  <c r="AD23" i="7"/>
  <c r="AF23" i="7" s="1"/>
  <c r="U11" i="7"/>
  <c r="AD22" i="7"/>
  <c r="AF22" i="7" s="1"/>
  <c r="U10" i="7"/>
  <c r="AD21" i="7"/>
  <c r="AF21" i="7" s="1"/>
  <c r="AD20" i="7"/>
  <c r="AF20" i="7" s="1"/>
  <c r="U18" i="7"/>
  <c r="AD19" i="7"/>
  <c r="AF19" i="7" s="1"/>
  <c r="AD15" i="7"/>
  <c r="AF15" i="7" s="1"/>
  <c r="AD14" i="7"/>
  <c r="AF14" i="7" s="1"/>
  <c r="AD16" i="7"/>
  <c r="AF16" i="7" s="1"/>
  <c r="U6" i="7"/>
  <c r="AD17" i="7"/>
  <c r="AF17" i="7" s="1"/>
  <c r="U7" i="7"/>
  <c r="AD18" i="7"/>
  <c r="AF18" i="7" s="1"/>
  <c r="AC18" i="7" l="1"/>
  <c r="Y17" i="7" l="1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3" i="7"/>
  <c r="AC7" i="7"/>
  <c r="AC6" i="7" l="1"/>
  <c r="AC16" i="7"/>
  <c r="AC8" i="7"/>
  <c r="AC11" i="7"/>
  <c r="AC13" i="7"/>
  <c r="AC9" i="7"/>
  <c r="AC14" i="7"/>
  <c r="AC17" i="7"/>
  <c r="AC3" i="7"/>
  <c r="AC5" i="7"/>
  <c r="AC10" i="7"/>
  <c r="AC12" i="7"/>
  <c r="AC15" i="7"/>
  <c r="AC4" i="7"/>
</calcChain>
</file>

<file path=xl/sharedStrings.xml><?xml version="1.0" encoding="utf-8"?>
<sst xmlns="http://schemas.openxmlformats.org/spreadsheetml/2006/main" count="227" uniqueCount="104">
  <si>
    <t>月</t>
    <rPh sb="0" eb="1">
      <t>ツキ</t>
    </rPh>
    <phoneticPr fontId="3"/>
  </si>
  <si>
    <t>Yahoo費用</t>
    <rPh sb="5" eb="7">
      <t>ヒヨウ</t>
    </rPh>
    <phoneticPr fontId="3"/>
  </si>
  <si>
    <t>Google費用</t>
    <rPh sb="6" eb="8">
      <t>ヒヨウ</t>
    </rPh>
    <phoneticPr fontId="3"/>
  </si>
  <si>
    <t>年</t>
    <rPh sb="0" eb="1">
      <t>ネン</t>
    </rPh>
    <phoneticPr fontId="3"/>
  </si>
  <si>
    <t>加入者数
(bind委託年月日)</t>
    <rPh sb="0" eb="3">
      <t>カニュウシャ</t>
    </rPh>
    <rPh sb="3" eb="4">
      <t>スウ</t>
    </rPh>
    <rPh sb="10" eb="12">
      <t>イタク</t>
    </rPh>
    <rPh sb="12" eb="15">
      <t>ネンガッピ</t>
    </rPh>
    <phoneticPr fontId="3"/>
  </si>
  <si>
    <t>合計</t>
    <rPh sb="0" eb="2">
      <t>ゴウケイ</t>
    </rPh>
    <phoneticPr fontId="3"/>
  </si>
  <si>
    <t>RJC</t>
    <phoneticPr fontId="3"/>
  </si>
  <si>
    <t>比較サイト</t>
    <rPh sb="0" eb="2">
      <t>ヒカク</t>
    </rPh>
    <phoneticPr fontId="3"/>
  </si>
  <si>
    <t>費用/加入者数</t>
    <rPh sb="0" eb="2">
      <t>ヒヨウ</t>
    </rPh>
    <rPh sb="3" eb="6">
      <t>カニュウシャ</t>
    </rPh>
    <rPh sb="6" eb="7">
      <t>スウ</t>
    </rPh>
    <phoneticPr fontId="3"/>
  </si>
  <si>
    <t>あいちからの移行分を引くこと</t>
    <rPh sb="6" eb="8">
      <t>イコウ</t>
    </rPh>
    <rPh sb="8" eb="9">
      <t>ブン</t>
    </rPh>
    <rPh sb="10" eb="11">
      <t>ヒ</t>
    </rPh>
    <phoneticPr fontId="3"/>
  </si>
  <si>
    <t>あいち移行者数</t>
    <rPh sb="3" eb="5">
      <t>イコウ</t>
    </rPh>
    <rPh sb="5" eb="6">
      <t>シャ</t>
    </rPh>
    <rPh sb="6" eb="7">
      <t>スウ</t>
    </rPh>
    <phoneticPr fontId="3"/>
  </si>
  <si>
    <t>4月bind加入者数</t>
    <rPh sb="1" eb="2">
      <t>ガツ</t>
    </rPh>
    <rPh sb="6" eb="9">
      <t>カニュウシャ</t>
    </rPh>
    <rPh sb="9" eb="10">
      <t>スウ</t>
    </rPh>
    <phoneticPr fontId="3"/>
  </si>
  <si>
    <t>過去12か月</t>
    <rPh sb="0" eb="2">
      <t>カコ</t>
    </rPh>
    <rPh sb="5" eb="6">
      <t>ゲツ</t>
    </rPh>
    <phoneticPr fontId="3"/>
  </si>
  <si>
    <t>合計金額</t>
    <rPh sb="0" eb="2">
      <t>ゴウケイ</t>
    </rPh>
    <rPh sb="2" eb="4">
      <t>キンガク</t>
    </rPh>
    <phoneticPr fontId="3"/>
  </si>
  <si>
    <t>bind加入者数</t>
    <rPh sb="4" eb="7">
      <t>カニュウシャ</t>
    </rPh>
    <rPh sb="7" eb="8">
      <t>スウ</t>
    </rPh>
    <phoneticPr fontId="3"/>
  </si>
  <si>
    <t>金額/加入者数</t>
    <rPh sb="0" eb="2">
      <t>キンガク</t>
    </rPh>
    <rPh sb="3" eb="6">
      <t>カニュウシャ</t>
    </rPh>
    <rPh sb="6" eb="7">
      <t>スウ</t>
    </rPh>
    <phoneticPr fontId="3"/>
  </si>
  <si>
    <t>3ヶ月平均</t>
    <rPh sb="2" eb="3">
      <t>ゲツ</t>
    </rPh>
    <rPh sb="3" eb="5">
      <t>ヘイキン</t>
    </rPh>
    <phoneticPr fontId="3"/>
  </si>
  <si>
    <t>6ヶ月平均</t>
    <rPh sb="2" eb="3">
      <t>ゲツ</t>
    </rPh>
    <rPh sb="3" eb="5">
      <t>ヘイキン</t>
    </rPh>
    <phoneticPr fontId="3"/>
  </si>
  <si>
    <t>費用(G+Y)</t>
    <rPh sb="0" eb="2">
      <t>ヒヨウ</t>
    </rPh>
    <phoneticPr fontId="3"/>
  </si>
  <si>
    <t>9/30 加入者265</t>
    <rPh sb="5" eb="8">
      <t>カニュウシャ</t>
    </rPh>
    <phoneticPr fontId="3"/>
  </si>
  <si>
    <t>前年同月比</t>
    <rPh sb="0" eb="2">
      <t>ゼンネン</t>
    </rPh>
    <rPh sb="2" eb="5">
      <t>ドウゲツヒ</t>
    </rPh>
    <phoneticPr fontId="3"/>
  </si>
  <si>
    <t>10/31 加入者204</t>
    <rPh sb="6" eb="9">
      <t>カニュウシャ</t>
    </rPh>
    <phoneticPr fontId="3"/>
  </si>
  <si>
    <t>11/29 加入者166</t>
    <rPh sb="6" eb="9">
      <t>カニュウシャ</t>
    </rPh>
    <phoneticPr fontId="3"/>
  </si>
  <si>
    <t>①加入者数（手続き日）：Q</t>
    <rPh sb="1" eb="4">
      <t>カニュウシャ</t>
    </rPh>
    <rPh sb="4" eb="5">
      <t>スウ</t>
    </rPh>
    <rPh sb="6" eb="8">
      <t>テツヅ</t>
    </rPh>
    <rPh sb="9" eb="10">
      <t>ビ</t>
    </rPh>
    <phoneticPr fontId="3"/>
  </si>
  <si>
    <t>⑤費用(G+Y)</t>
    <rPh sb="1" eb="3">
      <t>ヒヨウ</t>
    </rPh>
    <phoneticPr fontId="3"/>
  </si>
  <si>
    <t>②総収入（千円）：PQ</t>
    <rPh sb="1" eb="2">
      <t>ソウ</t>
    </rPh>
    <rPh sb="2" eb="4">
      <t>シュウニュウ</t>
    </rPh>
    <rPh sb="5" eb="7">
      <t>センエン</t>
    </rPh>
    <phoneticPr fontId="3"/>
  </si>
  <si>
    <t>③総収入/加入者数（②/①）：P</t>
    <rPh sb="1" eb="2">
      <t>ソウ</t>
    </rPh>
    <rPh sb="2" eb="4">
      <t>シュウニュウ</t>
    </rPh>
    <rPh sb="5" eb="8">
      <t>カニュウシャ</t>
    </rPh>
    <rPh sb="8" eb="9">
      <t>スウ</t>
    </rPh>
    <phoneticPr fontId="3"/>
  </si>
  <si>
    <t>④広告費/総収入（⑤/②）
[指標：20%]</t>
    <rPh sb="1" eb="4">
      <t>コウコクヒ</t>
    </rPh>
    <rPh sb="5" eb="8">
      <t>ソウシュウニュウ</t>
    </rPh>
    <rPh sb="15" eb="17">
      <t>シヒョウ</t>
    </rPh>
    <phoneticPr fontId="3"/>
  </si>
  <si>
    <t>内訳</t>
    <rPh sb="0" eb="2">
      <t>ウチワケ</t>
    </rPh>
    <phoneticPr fontId="5"/>
  </si>
  <si>
    <t>①Ｐ単価</t>
    <rPh sb="2" eb="4">
      <t>タンカ</t>
    </rPh>
    <phoneticPr fontId="5"/>
  </si>
  <si>
    <t>②Ｖ変動費</t>
    <rPh sb="2" eb="4">
      <t>ヘンドウ</t>
    </rPh>
    <rPh sb="4" eb="5">
      <t>ヒ</t>
    </rPh>
    <phoneticPr fontId="5"/>
  </si>
  <si>
    <t>③Ｍ粗利①-②</t>
    <rPh sb="2" eb="4">
      <t>ソリ</t>
    </rPh>
    <phoneticPr fontId="5"/>
  </si>
  <si>
    <t>④Ｑ加入者数</t>
    <rPh sb="2" eb="5">
      <t>カニュウシャ</t>
    </rPh>
    <rPh sb="5" eb="6">
      <t>スウ</t>
    </rPh>
    <phoneticPr fontId="5"/>
  </si>
  <si>
    <t>ＰＱ①×④</t>
    <phoneticPr fontId="5"/>
  </si>
  <si>
    <t>ＶＱ②×④</t>
    <phoneticPr fontId="5"/>
  </si>
  <si>
    <t>⑤ＭＱ③×④</t>
    <phoneticPr fontId="5"/>
  </si>
  <si>
    <t>⑥Ｆ固定費</t>
    <rPh sb="2" eb="4">
      <t>コテイ</t>
    </rPh>
    <rPh sb="4" eb="5">
      <t>ヒ</t>
    </rPh>
    <phoneticPr fontId="5"/>
  </si>
  <si>
    <t>⑥Ｇ利益⑤-⑥</t>
    <rPh sb="2" eb="4">
      <t>リエキ</t>
    </rPh>
    <phoneticPr fontId="5"/>
  </si>
  <si>
    <t>封筒</t>
    <rPh sb="0" eb="2">
      <t>フウトウ</t>
    </rPh>
    <phoneticPr fontId="5"/>
  </si>
  <si>
    <t>台紙</t>
    <rPh sb="0" eb="2">
      <t>ダイシ</t>
    </rPh>
    <phoneticPr fontId="5"/>
  </si>
  <si>
    <t>PPC印刷</t>
    <rPh sb="3" eb="5">
      <t>インサツ</t>
    </rPh>
    <phoneticPr fontId="5"/>
  </si>
  <si>
    <t>切手</t>
    <rPh sb="0" eb="2">
      <t>キッテ</t>
    </rPh>
    <phoneticPr fontId="5"/>
  </si>
  <si>
    <t>合計</t>
    <rPh sb="0" eb="2">
      <t>ゴウケイ</t>
    </rPh>
    <phoneticPr fontId="5"/>
  </si>
  <si>
    <t>⑥固定費</t>
    <rPh sb="1" eb="4">
      <t>コテイヒ</t>
    </rPh>
    <phoneticPr fontId="5"/>
  </si>
  <si>
    <t>人件費</t>
    <rPh sb="0" eb="3">
      <t>ジンケンヒ</t>
    </rPh>
    <phoneticPr fontId="5"/>
  </si>
  <si>
    <t>広告費</t>
    <rPh sb="0" eb="3">
      <t>コウコクヒ</t>
    </rPh>
    <phoneticPr fontId="5"/>
  </si>
  <si>
    <t>家賃</t>
    <rPh sb="0" eb="2">
      <t>ヤチン</t>
    </rPh>
    <phoneticPr fontId="5"/>
  </si>
  <si>
    <t>SF＆Avaya</t>
    <phoneticPr fontId="5"/>
  </si>
  <si>
    <t>手入力</t>
    <rPh sb="0" eb="1">
      <t>テ</t>
    </rPh>
    <rPh sb="1" eb="3">
      <t>ニュウリョク</t>
    </rPh>
    <phoneticPr fontId="5"/>
  </si>
  <si>
    <t>固定項目</t>
    <rPh sb="0" eb="2">
      <t>コテイ</t>
    </rPh>
    <rPh sb="2" eb="4">
      <t>コウモク</t>
    </rPh>
    <phoneticPr fontId="5"/>
  </si>
  <si>
    <t>手入力</t>
    <rPh sb="0" eb="1">
      <t>テ</t>
    </rPh>
    <rPh sb="1" eb="3">
      <t>ニュウリョク</t>
    </rPh>
    <phoneticPr fontId="3"/>
  </si>
  <si>
    <t>入力しない</t>
    <rPh sb="0" eb="2">
      <t>ニュウリョク</t>
    </rPh>
    <phoneticPr fontId="3"/>
  </si>
  <si>
    <t>加入者数</t>
    <rPh sb="0" eb="3">
      <t>カニュウシャ</t>
    </rPh>
    <rPh sb="3" eb="4">
      <t>スウ</t>
    </rPh>
    <phoneticPr fontId="3"/>
  </si>
  <si>
    <t>12/27 加入者132</t>
    <rPh sb="6" eb="9">
      <t>カニュウシャ</t>
    </rPh>
    <phoneticPr fontId="3"/>
  </si>
  <si>
    <t>2/28 加入者102</t>
    <rPh sb="5" eb="8">
      <t>カニュウシャ</t>
    </rPh>
    <phoneticPr fontId="3"/>
  </si>
  <si>
    <t>1/31 加入者126</t>
    <rPh sb="5" eb="8">
      <t>カニュウシャ</t>
    </rPh>
    <phoneticPr fontId="3"/>
  </si>
  <si>
    <t>3/26 加入者175</t>
    <rPh sb="5" eb="8">
      <t>カニュウシャ</t>
    </rPh>
    <phoneticPr fontId="3"/>
  </si>
  <si>
    <t>4/30 加入者147</t>
    <rPh sb="5" eb="8">
      <t>カニュウシャ</t>
    </rPh>
    <phoneticPr fontId="3"/>
  </si>
  <si>
    <t>事務組合</t>
    <rPh sb="0" eb="2">
      <t>ジム</t>
    </rPh>
    <rPh sb="2" eb="4">
      <t>クミアイ</t>
    </rPh>
    <phoneticPr fontId="3"/>
  </si>
  <si>
    <t>5/31 加入者276</t>
    <rPh sb="5" eb="8">
      <t>カニュウシャ</t>
    </rPh>
    <phoneticPr fontId="3"/>
  </si>
  <si>
    <t>6/30 加入者256</t>
    <rPh sb="5" eb="8">
      <t>カニュウシャ</t>
    </rPh>
    <phoneticPr fontId="3"/>
  </si>
  <si>
    <t>費用(Y+G)</t>
    <rPh sb="0" eb="2">
      <t>ヒヨウ</t>
    </rPh>
    <phoneticPr fontId="3"/>
  </si>
  <si>
    <t>7/30 加入者208</t>
    <rPh sb="5" eb="8">
      <t>カニュウシャ</t>
    </rPh>
    <phoneticPr fontId="3"/>
  </si>
  <si>
    <t>RJC Google 7/8～停止</t>
    <rPh sb="15" eb="17">
      <t>テイシ</t>
    </rPh>
    <phoneticPr fontId="3"/>
  </si>
  <si>
    <t>8/31 加入者129</t>
    <rPh sb="5" eb="8">
      <t>カニュウシャ</t>
    </rPh>
    <phoneticPr fontId="3"/>
  </si>
  <si>
    <t>9/30 加入者170</t>
    <rPh sb="5" eb="8">
      <t>カニュウシャ</t>
    </rPh>
    <phoneticPr fontId="3"/>
  </si>
  <si>
    <t>8/12 Google広告停止</t>
    <rPh sb="11" eb="13">
      <t>コウコク</t>
    </rPh>
    <rPh sb="13" eb="15">
      <t>テイシ</t>
    </rPh>
    <phoneticPr fontId="3"/>
  </si>
  <si>
    <t>建設業許可</t>
    <rPh sb="0" eb="5">
      <t>ケンセツギョウキョカ</t>
    </rPh>
    <phoneticPr fontId="3"/>
  </si>
  <si>
    <t>10/20～</t>
    <phoneticPr fontId="3"/>
  </si>
  <si>
    <t>日本最大級</t>
    <rPh sb="0" eb="5">
      <t>ニホンサイダイキュウ</t>
    </rPh>
    <phoneticPr fontId="3"/>
  </si>
  <si>
    <t>4/26～</t>
    <phoneticPr fontId="3"/>
  </si>
  <si>
    <t>11/18～</t>
    <phoneticPr fontId="3"/>
  </si>
  <si>
    <t>10/30 加入者170</t>
    <rPh sb="6" eb="9">
      <t>カニュウシャ</t>
    </rPh>
    <phoneticPr fontId="3"/>
  </si>
  <si>
    <t>11/5 Google広告停止</t>
    <rPh sb="11" eb="13">
      <t>コウコク</t>
    </rPh>
    <rPh sb="13" eb="15">
      <t>テイシ</t>
    </rPh>
    <phoneticPr fontId="3"/>
  </si>
  <si>
    <t>11/12 rousai.jp配信へ切り替え</t>
    <rPh sb="15" eb="17">
      <t>ハイシン</t>
    </rPh>
    <rPh sb="18" eb="19">
      <t>キ</t>
    </rPh>
    <rPh sb="20" eb="21">
      <t>カ</t>
    </rPh>
    <phoneticPr fontId="3"/>
  </si>
  <si>
    <t>RJC広告 11/19～停止→11/26再開</t>
    <rPh sb="3" eb="5">
      <t>コウコク</t>
    </rPh>
    <rPh sb="12" eb="14">
      <t>テイシ</t>
    </rPh>
    <rPh sb="20" eb="22">
      <t>サイカイ</t>
    </rPh>
    <phoneticPr fontId="3"/>
  </si>
  <si>
    <t>4か月以降
継続者数</t>
    <rPh sb="2" eb="3">
      <t>ゲツ</t>
    </rPh>
    <rPh sb="3" eb="5">
      <t>イコウ</t>
    </rPh>
    <rPh sb="6" eb="8">
      <t>ケイゾク</t>
    </rPh>
    <rPh sb="8" eb="9">
      <t>シャ</t>
    </rPh>
    <rPh sb="9" eb="10">
      <t>スウ</t>
    </rPh>
    <phoneticPr fontId="3"/>
  </si>
  <si>
    <t>①Ｐ単価
加入</t>
    <rPh sb="2" eb="4">
      <t>タンカ</t>
    </rPh>
    <rPh sb="5" eb="7">
      <t>カニュウ</t>
    </rPh>
    <phoneticPr fontId="5"/>
  </si>
  <si>
    <t>①P単価
継続</t>
    <rPh sb="2" eb="4">
      <t>タンカ</t>
    </rPh>
    <rPh sb="5" eb="7">
      <t>ケイゾク</t>
    </rPh>
    <phoneticPr fontId="3"/>
  </si>
  <si>
    <t>④Q継続者数</t>
    <rPh sb="2" eb="4">
      <t>ケイゾク</t>
    </rPh>
    <rPh sb="4" eb="5">
      <t>シャ</t>
    </rPh>
    <rPh sb="5" eb="6">
      <t>スウ</t>
    </rPh>
    <phoneticPr fontId="3"/>
  </si>
  <si>
    <t>②Ｖ変動費
加入</t>
    <rPh sb="2" eb="4">
      <t>ヘンドウ</t>
    </rPh>
    <rPh sb="4" eb="5">
      <t>ヒ</t>
    </rPh>
    <rPh sb="6" eb="8">
      <t>カニュウ</t>
    </rPh>
    <phoneticPr fontId="5"/>
  </si>
  <si>
    <t>②Ｖ変動費
継続</t>
    <rPh sb="2" eb="4">
      <t>ヘンドウ</t>
    </rPh>
    <rPh sb="4" eb="5">
      <t>ヒ</t>
    </rPh>
    <rPh sb="6" eb="8">
      <t>ケイゾク</t>
    </rPh>
    <phoneticPr fontId="5"/>
  </si>
  <si>
    <t>③Ｍ粗利①-②
加入</t>
    <rPh sb="2" eb="4">
      <t>ソリ</t>
    </rPh>
    <rPh sb="8" eb="10">
      <t>カニュウ</t>
    </rPh>
    <phoneticPr fontId="5"/>
  </si>
  <si>
    <t>③Ｍ粗利①-②
継続</t>
    <rPh sb="2" eb="4">
      <t>ソリ</t>
    </rPh>
    <rPh sb="8" eb="10">
      <t>ケイゾク</t>
    </rPh>
    <phoneticPr fontId="5"/>
  </si>
  <si>
    <t>④Ｑ会員数</t>
    <rPh sb="2" eb="4">
      <t>カイイン</t>
    </rPh>
    <rPh sb="4" eb="5">
      <t>スウ</t>
    </rPh>
    <phoneticPr fontId="5"/>
  </si>
  <si>
    <t>会員数
(加入＋継続)</t>
    <rPh sb="0" eb="3">
      <t>カイインスウ</t>
    </rPh>
    <rPh sb="5" eb="7">
      <t>カニュウ</t>
    </rPh>
    <rPh sb="8" eb="10">
      <t>ケイゾク</t>
    </rPh>
    <phoneticPr fontId="3"/>
  </si>
  <si>
    <t>11/30 加入者105</t>
    <rPh sb="6" eb="9">
      <t>カニュウシャ</t>
    </rPh>
    <phoneticPr fontId="3"/>
  </si>
  <si>
    <t>12/28 加入者114</t>
    <rPh sb="6" eb="8">
      <t>カニュウ</t>
    </rPh>
    <rPh sb="8" eb="9">
      <t>シャ</t>
    </rPh>
    <phoneticPr fontId="3"/>
  </si>
  <si>
    <t>特別加入</t>
    <rPh sb="0" eb="2">
      <t>トクベツ</t>
    </rPh>
    <rPh sb="2" eb="4">
      <t>カニュウ</t>
    </rPh>
    <phoneticPr fontId="3"/>
  </si>
  <si>
    <t>Yahoo 1/11～</t>
    <phoneticPr fontId="3"/>
  </si>
  <si>
    <t>1/29 加入者117</t>
    <rPh sb="5" eb="8">
      <t>カニュウシャ</t>
    </rPh>
    <phoneticPr fontId="3"/>
  </si>
  <si>
    <t>2/26 加入者 131</t>
    <rPh sb="5" eb="8">
      <t>カニュウシャ</t>
    </rPh>
    <phoneticPr fontId="3"/>
  </si>
  <si>
    <t>特別加入.com</t>
    <rPh sb="0" eb="2">
      <t>トクベツ</t>
    </rPh>
    <rPh sb="2" eb="4">
      <t>カニュウ</t>
    </rPh>
    <phoneticPr fontId="3"/>
  </si>
  <si>
    <t>RJC 広告停止 2/26～　→広告再開3/11</t>
    <rPh sb="4" eb="6">
      <t>コウコク</t>
    </rPh>
    <rPh sb="6" eb="8">
      <t>テイシ</t>
    </rPh>
    <rPh sb="16" eb="20">
      <t>コウコクサイカイ</t>
    </rPh>
    <phoneticPr fontId="3"/>
  </si>
  <si>
    <t>中小事業主.com</t>
    <rPh sb="0" eb="5">
      <t>チュウショウジギョウヌシ</t>
    </rPh>
    <phoneticPr fontId="3"/>
  </si>
  <si>
    <t>3/31 加入者 769</t>
    <rPh sb="5" eb="8">
      <t>カニュウシャ</t>
    </rPh>
    <phoneticPr fontId="3"/>
  </si>
  <si>
    <t>4/30 加入者214</t>
    <rPh sb="5" eb="8">
      <t>カニュウシャ</t>
    </rPh>
    <phoneticPr fontId="3"/>
  </si>
  <si>
    <t>5/31 加入者199</t>
    <rPh sb="5" eb="8">
      <t>カニュウシャ</t>
    </rPh>
    <phoneticPr fontId="3"/>
  </si>
  <si>
    <t>6/30 加入者311</t>
    <rPh sb="5" eb="8">
      <t>カニュウシャ</t>
    </rPh>
    <phoneticPr fontId="3"/>
  </si>
  <si>
    <t>8/31 加入者290</t>
    <rPh sb="5" eb="8">
      <t>カニュウシャ</t>
    </rPh>
    <phoneticPr fontId="3"/>
  </si>
  <si>
    <t>7/31 加入者318</t>
    <rPh sb="5" eb="8">
      <t>カニュウシャ</t>
    </rPh>
    <phoneticPr fontId="3"/>
  </si>
  <si>
    <t>9/30 加入者284</t>
    <rPh sb="5" eb="8">
      <t>カニュウシャ</t>
    </rPh>
    <phoneticPr fontId="3"/>
  </si>
  <si>
    <t>10/29 加入者190</t>
    <rPh sb="6" eb="9">
      <t>カニュウシャ</t>
    </rPh>
    <phoneticPr fontId="3"/>
  </si>
  <si>
    <t>「かんたん親方」追加</t>
    <rPh sb="5" eb="7">
      <t>オヤカタ</t>
    </rPh>
    <rPh sb="8" eb="10">
      <t>ツイカ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</si>
</sst>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8" formatCode="&quot;¥&quot;#,##0.00;[Red]&quot;¥&quot;\-#,##0.00"/>
    <numFmt numFmtId="176" formatCode="0.0%"/>
    <numFmt numFmtId="177" formatCode="0.000_);[Red]\(0.000\)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6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6" fontId="0" fillId="2" borderId="1" xfId="1" applyFont="1" applyFill="1" applyBorder="1">
      <alignment vertical="center"/>
    </xf>
    <xf numFmtId="6" fontId="0" fillId="2" borderId="1" xfId="1" applyFont="1" applyFill="1" applyBorder="1" applyAlignment="1"/>
    <xf numFmtId="38" fontId="0" fillId="0" borderId="0" xfId="2" applyFont="1" applyAlignment="1"/>
    <xf numFmtId="38" fontId="0" fillId="0" borderId="0" xfId="0" applyNumberFormat="1"/>
    <xf numFmtId="176" fontId="0" fillId="0" borderId="0" xfId="3" applyNumberFormat="1" applyFont="1" applyAlignment="1"/>
    <xf numFmtId="177" fontId="0" fillId="0" borderId="0" xfId="0" applyNumberFormat="1"/>
    <xf numFmtId="0" fontId="0" fillId="3" borderId="1" xfId="0" applyFill="1" applyBorder="1"/>
    <xf numFmtId="6" fontId="0" fillId="3" borderId="1" xfId="1" applyFont="1" applyFill="1" applyBorder="1">
      <alignment vertical="center"/>
    </xf>
    <xf numFmtId="6" fontId="0" fillId="3" borderId="1" xfId="1" applyFont="1" applyFill="1" applyBorder="1" applyAlignment="1"/>
    <xf numFmtId="0" fontId="0" fillId="3" borderId="0" xfId="0" applyFill="1"/>
    <xf numFmtId="0" fontId="0" fillId="2" borderId="0" xfId="0" applyFill="1"/>
    <xf numFmtId="0" fontId="0" fillId="4" borderId="1" xfId="0" applyFill="1" applyBorder="1"/>
    <xf numFmtId="6" fontId="0" fillId="4" borderId="1" xfId="0" applyNumberFormat="1" applyFill="1" applyBorder="1"/>
    <xf numFmtId="0" fontId="0" fillId="4" borderId="0" xfId="0" applyFill="1"/>
    <xf numFmtId="6" fontId="0" fillId="2" borderId="1" xfId="0" applyNumberFormat="1" applyFill="1" applyBorder="1"/>
    <xf numFmtId="0" fontId="0" fillId="0" borderId="2" xfId="0" applyBorder="1"/>
    <xf numFmtId="6" fontId="0" fillId="0" borderId="3" xfId="0" applyNumberFormat="1" applyBorder="1"/>
    <xf numFmtId="0" fontId="0" fillId="5" borderId="1" xfId="0" applyFill="1" applyBorder="1"/>
    <xf numFmtId="8" fontId="0" fillId="5" borderId="1" xfId="0" applyNumberFormat="1" applyFill="1" applyBorder="1"/>
    <xf numFmtId="6" fontId="0" fillId="5" borderId="1" xfId="0" applyNumberFormat="1" applyFill="1" applyBorder="1"/>
    <xf numFmtId="0" fontId="0" fillId="5" borderId="0" xfId="0" applyFill="1"/>
    <xf numFmtId="38" fontId="0" fillId="5" borderId="1" xfId="2" applyFont="1" applyFill="1" applyBorder="1" applyAlignment="1"/>
    <xf numFmtId="38" fontId="0" fillId="0" borderId="1" xfId="2" applyFont="1" applyBorder="1" applyAlignment="1"/>
    <xf numFmtId="38" fontId="0" fillId="6" borderId="1" xfId="2" applyFont="1" applyFill="1" applyBorder="1" applyAlignment="1"/>
    <xf numFmtId="38" fontId="0" fillId="0" borderId="1" xfId="2" applyFont="1" applyFill="1" applyBorder="1" applyAlignment="1"/>
    <xf numFmtId="6" fontId="0" fillId="4" borderId="0" xfId="0" applyNumberFormat="1" applyFill="1"/>
    <xf numFmtId="6" fontId="0" fillId="3" borderId="1" xfId="0" applyNumberFormat="1" applyFill="1" applyBorder="1"/>
    <xf numFmtId="6" fontId="0" fillId="3" borderId="0" xfId="0" applyNumberFormat="1" applyFill="1"/>
    <xf numFmtId="9" fontId="0" fillId="0" borderId="1" xfId="3" applyFont="1" applyBorder="1" applyAlignment="1"/>
    <xf numFmtId="9" fontId="0" fillId="6" borderId="1" xfId="3" applyFont="1" applyFill="1" applyBorder="1" applyAlignment="1"/>
    <xf numFmtId="9" fontId="0" fillId="0" borderId="1" xfId="3" applyFont="1" applyFill="1" applyBorder="1" applyAlignment="1"/>
    <xf numFmtId="0" fontId="4" fillId="0" borderId="0" xfId="4" applyFont="1" applyAlignment="1">
      <alignment vertical="center" shrinkToFit="1"/>
    </xf>
    <xf numFmtId="0" fontId="4" fillId="7" borderId="0" xfId="4" applyFont="1" applyFill="1" applyAlignment="1">
      <alignment vertical="center" shrinkToFit="1"/>
    </xf>
    <xf numFmtId="0" fontId="4" fillId="6" borderId="0" xfId="4" applyFont="1" applyFill="1" applyAlignment="1">
      <alignment vertical="center" shrinkToFit="1"/>
    </xf>
    <xf numFmtId="38" fontId="4" fillId="7" borderId="0" xfId="5" applyFont="1" applyFill="1" applyAlignment="1">
      <alignment vertical="center" shrinkToFit="1"/>
    </xf>
    <xf numFmtId="38" fontId="4" fillId="6" borderId="0" xfId="5" applyFont="1" applyFill="1" applyAlignment="1">
      <alignment vertical="center" shrinkToFit="1"/>
    </xf>
    <xf numFmtId="38" fontId="4" fillId="0" borderId="0" xfId="5" applyFont="1" applyAlignment="1">
      <alignment vertical="center" shrinkToFit="1"/>
    </xf>
    <xf numFmtId="38" fontId="4" fillId="0" borderId="0" xfId="4" applyNumberFormat="1" applyFont="1" applyAlignment="1">
      <alignment vertical="center" shrinkToFit="1"/>
    </xf>
    <xf numFmtId="38" fontId="0" fillId="0" borderId="4" xfId="2" applyFont="1" applyFill="1" applyBorder="1" applyAlignment="1"/>
    <xf numFmtId="6" fontId="0" fillId="4" borderId="3" xfId="0" applyNumberFormat="1" applyFill="1" applyBorder="1"/>
    <xf numFmtId="6" fontId="0" fillId="0" borderId="1" xfId="1" applyFont="1" applyBorder="1" applyAlignment="1"/>
    <xf numFmtId="6" fontId="0" fillId="0" borderId="1" xfId="1" applyFont="1" applyBorder="1" applyAlignment="1">
      <alignment vertical="center"/>
    </xf>
    <xf numFmtId="6" fontId="0" fillId="6" borderId="1" xfId="1" applyFont="1" applyFill="1" applyBorder="1" applyAlignment="1"/>
    <xf numFmtId="6" fontId="0" fillId="6" borderId="1" xfId="1" applyFont="1" applyFill="1" applyBorder="1" applyAlignment="1">
      <alignment vertical="center"/>
    </xf>
    <xf numFmtId="0" fontId="0" fillId="7" borderId="1" xfId="2" applyNumberFormat="1" applyFont="1" applyFill="1" applyBorder="1" applyAlignment="1"/>
    <xf numFmtId="0" fontId="0" fillId="7" borderId="1" xfId="3" applyNumberFormat="1" applyFont="1" applyFill="1" applyBorder="1" applyAlignment="1">
      <alignment vertical="center"/>
    </xf>
    <xf numFmtId="6" fontId="0" fillId="7" borderId="1" xfId="1" applyFont="1" applyFill="1" applyBorder="1" applyAlignment="1"/>
    <xf numFmtId="6" fontId="0" fillId="7" borderId="1" xfId="1" applyFont="1" applyFill="1" applyBorder="1" applyAlignment="1">
      <alignment vertical="center"/>
    </xf>
    <xf numFmtId="0" fontId="0" fillId="7" borderId="1" xfId="0" applyFill="1" applyBorder="1"/>
    <xf numFmtId="0" fontId="0" fillId="6" borderId="1" xfId="0" applyFill="1" applyBorder="1"/>
    <xf numFmtId="0" fontId="4" fillId="7" borderId="1" xfId="0" applyFont="1" applyFill="1" applyBorder="1" applyAlignment="1">
      <alignment vertical="center" shrinkToFit="1"/>
    </xf>
    <xf numFmtId="0" fontId="4" fillId="6" borderId="1" xfId="0" applyFont="1" applyFill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0" fillId="7" borderId="1" xfId="0" applyFill="1" applyBorder="1" applyAlignment="1">
      <alignment wrapText="1"/>
    </xf>
    <xf numFmtId="38" fontId="0" fillId="7" borderId="1" xfId="2" applyFont="1" applyFill="1" applyBorder="1" applyAlignment="1"/>
    <xf numFmtId="0" fontId="0" fillId="7" borderId="1" xfId="0" applyFill="1" applyBorder="1" applyAlignment="1">
      <alignment vertical="center"/>
    </xf>
    <xf numFmtId="0" fontId="0" fillId="0" borderId="4" xfId="0" applyBorder="1" applyAlignment="1">
      <alignment wrapText="1"/>
    </xf>
    <xf numFmtId="38" fontId="0" fillId="0" borderId="4" xfId="2" applyFont="1" applyBorder="1" applyAlignment="1"/>
    <xf numFmtId="9" fontId="0" fillId="0" borderId="4" xfId="3" applyFont="1" applyBorder="1" applyAlignment="1">
      <alignment vertical="center"/>
    </xf>
    <xf numFmtId="0" fontId="0" fillId="7" borderId="6" xfId="0" applyFill="1" applyBorder="1"/>
    <xf numFmtId="0" fontId="4" fillId="7" borderId="6" xfId="0" applyFont="1" applyFill="1" applyBorder="1" applyAlignment="1">
      <alignment vertical="center" shrinkToFit="1"/>
    </xf>
    <xf numFmtId="6" fontId="0" fillId="7" borderId="6" xfId="1" applyFont="1" applyFill="1" applyBorder="1" applyAlignment="1"/>
    <xf numFmtId="6" fontId="0" fillId="7" borderId="6" xfId="1" applyFont="1" applyFill="1" applyBorder="1" applyAlignment="1">
      <alignment vertical="center"/>
    </xf>
    <xf numFmtId="0" fontId="0" fillId="3" borderId="1" xfId="0" applyFill="1" applyBorder="1" applyAlignment="1">
      <alignment wrapText="1"/>
    </xf>
    <xf numFmtId="38" fontId="0" fillId="3" borderId="1" xfId="2" applyFont="1" applyFill="1" applyBorder="1" applyAlignment="1"/>
    <xf numFmtId="0" fontId="0" fillId="3" borderId="6" xfId="0" applyFill="1" applyBorder="1"/>
    <xf numFmtId="0" fontId="4" fillId="3" borderId="6" xfId="0" applyFont="1" applyFill="1" applyBorder="1" applyAlignment="1">
      <alignment vertical="center" shrinkToFit="1"/>
    </xf>
    <xf numFmtId="6" fontId="0" fillId="3" borderId="6" xfId="1" applyFont="1" applyFill="1" applyBorder="1" applyAlignment="1"/>
    <xf numFmtId="6" fontId="0" fillId="3" borderId="6" xfId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shrinkToFit="1"/>
    </xf>
    <xf numFmtId="0" fontId="0" fillId="3" borderId="1" xfId="2" applyNumberFormat="1" applyFont="1" applyFill="1" applyBorder="1" applyAlignment="1"/>
    <xf numFmtId="0" fontId="0" fillId="3" borderId="1" xfId="3" applyNumberFormat="1" applyFont="1" applyFill="1" applyBorder="1" applyAlignment="1">
      <alignment vertical="center"/>
    </xf>
    <xf numFmtId="0" fontId="0" fillId="8" borderId="1" xfId="0" applyFill="1" applyBorder="1"/>
    <xf numFmtId="0" fontId="4" fillId="8" borderId="1" xfId="0" applyFont="1" applyFill="1" applyBorder="1" applyAlignment="1">
      <alignment vertical="center" shrinkToFit="1"/>
    </xf>
    <xf numFmtId="6" fontId="0" fillId="8" borderId="1" xfId="1" applyFont="1" applyFill="1" applyBorder="1" applyAlignment="1">
      <alignment vertical="center"/>
    </xf>
    <xf numFmtId="0" fontId="0" fillId="0" borderId="1" xfId="0" applyFill="1" applyBorder="1"/>
    <xf numFmtId="6" fontId="0" fillId="0" borderId="1" xfId="0" applyNumberFormat="1" applyFill="1" applyBorder="1"/>
    <xf numFmtId="6" fontId="0" fillId="0" borderId="1" xfId="1" applyFont="1" applyFill="1" applyBorder="1">
      <alignment vertical="center"/>
    </xf>
    <xf numFmtId="6" fontId="0" fillId="0" borderId="1" xfId="1" applyFont="1" applyFill="1" applyBorder="1" applyAlignment="1"/>
    <xf numFmtId="8" fontId="0" fillId="0" borderId="1" xfId="0" applyNumberFormat="1" applyFill="1" applyBorder="1"/>
    <xf numFmtId="6" fontId="0" fillId="0" borderId="3" xfId="0" applyNumberFormat="1" applyFill="1" applyBorder="1"/>
    <xf numFmtId="0" fontId="0" fillId="0" borderId="0" xfId="0" applyFill="1"/>
    <xf numFmtId="6" fontId="0" fillId="0" borderId="0" xfId="0" applyNumberFormat="1" applyFill="1"/>
    <xf numFmtId="0" fontId="0" fillId="0" borderId="3" xfId="0" applyBorder="1"/>
    <xf numFmtId="0" fontId="0" fillId="0" borderId="4" xfId="0" applyFill="1" applyBorder="1" applyAlignment="1">
      <alignment horizontal="center"/>
    </xf>
    <xf numFmtId="0" fontId="4" fillId="0" borderId="1" xfId="0" applyFont="1" applyFill="1" applyBorder="1" applyAlignment="1">
      <alignment vertical="center" shrinkToFit="1"/>
    </xf>
    <xf numFmtId="38" fontId="0" fillId="0" borderId="1" xfId="2" applyNumberFormat="1" applyFont="1" applyFill="1" applyBorder="1" applyAlignment="1"/>
    <xf numFmtId="0" fontId="0" fillId="0" borderId="1" xfId="2" applyNumberFormat="1" applyFont="1" applyFill="1" applyBorder="1" applyAlignment="1"/>
    <xf numFmtId="0" fontId="0" fillId="0" borderId="3" xfId="0" applyBorder="1" applyAlignment="1">
      <alignment wrapText="1"/>
    </xf>
    <xf numFmtId="38" fontId="0" fillId="0" borderId="3" xfId="2" applyFont="1" applyBorder="1" applyAlignment="1"/>
    <xf numFmtId="0" fontId="4" fillId="3" borderId="6" xfId="0" applyFont="1" applyFill="1" applyBorder="1" applyAlignment="1">
      <alignment vertical="center" wrapText="1" shrinkToFit="1"/>
    </xf>
    <xf numFmtId="0" fontId="4" fillId="3" borderId="3" xfId="0" applyFont="1" applyFill="1" applyBorder="1" applyAlignment="1">
      <alignment vertical="center" wrapText="1" shrinkToFit="1"/>
    </xf>
    <xf numFmtId="6" fontId="0" fillId="3" borderId="3" xfId="1" applyFont="1" applyFill="1" applyBorder="1" applyAlignment="1"/>
    <xf numFmtId="0" fontId="4" fillId="8" borderId="1" xfId="0" applyFont="1" applyFill="1" applyBorder="1" applyAlignment="1">
      <alignment vertical="center" wrapText="1" shrinkToFit="1"/>
    </xf>
    <xf numFmtId="0" fontId="4" fillId="0" borderId="1" xfId="0" applyFont="1" applyBorder="1" applyAlignment="1">
      <alignment vertical="center" wrapText="1" shrinkToFit="1"/>
    </xf>
    <xf numFmtId="0" fontId="0" fillId="3" borderId="3" xfId="0" applyFill="1" applyBorder="1" applyAlignment="1">
      <alignment wrapText="1"/>
    </xf>
    <xf numFmtId="38" fontId="0" fillId="3" borderId="3" xfId="2" applyFont="1" applyFill="1" applyBorder="1" applyAlignment="1"/>
    <xf numFmtId="9" fontId="0" fillId="3" borderId="3" xfId="3" applyFont="1" applyFill="1" applyBorder="1" applyAlignment="1"/>
    <xf numFmtId="6" fontId="0" fillId="6" borderId="1" xfId="0" applyNumberFormat="1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7" xfId="0" applyFill="1" applyBorder="1" applyAlignment="1">
      <alignment horizontal="center" wrapText="1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6">
    <cellStyle name="パーセント" xfId="3" builtinId="5"/>
    <cellStyle name="桁区切り" xfId="2" builtinId="6"/>
    <cellStyle name="桁区切り 2" xfId="5" xr:uid="{00000000-0005-0000-0000-000002000000}"/>
    <cellStyle name="通貨" xfId="1" builtinId="7"/>
    <cellStyle name="標準" xfId="0" builtinId="0"/>
    <cellStyle name="標準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加入者数移動平均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RJC日本一比較サイト合計!$AK$1:$AK$2</c:f>
              <c:strCache>
                <c:ptCount val="2"/>
                <c:pt idx="1">
                  <c:v>3ヶ月平均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RJC日本一比較サイト合計!$AJ$3:$AJ$25</c:f>
              <c:numCache>
                <c:formatCode>General</c:formatCode>
                <c:ptCount val="23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  <c:pt idx="10">
                  <c:v>201811</c:v>
                </c:pt>
                <c:pt idx="11">
                  <c:v>201812</c:v>
                </c:pt>
                <c:pt idx="12">
                  <c:v>201901</c:v>
                </c:pt>
                <c:pt idx="13">
                  <c:v>201902</c:v>
                </c:pt>
                <c:pt idx="14">
                  <c:v>201903</c:v>
                </c:pt>
                <c:pt idx="15">
                  <c:v>201904</c:v>
                </c:pt>
                <c:pt idx="16">
                  <c:v>201905</c:v>
                </c:pt>
                <c:pt idx="17">
                  <c:v>201906</c:v>
                </c:pt>
                <c:pt idx="18">
                  <c:v>201907</c:v>
                </c:pt>
                <c:pt idx="19">
                  <c:v>201908</c:v>
                </c:pt>
                <c:pt idx="20">
                  <c:v>201909</c:v>
                </c:pt>
                <c:pt idx="21">
                  <c:v>201910</c:v>
                </c:pt>
                <c:pt idx="22">
                  <c:v>201911</c:v>
                </c:pt>
              </c:numCache>
            </c:numRef>
          </c:cat>
          <c:val>
            <c:numRef>
              <c:f>RJC日本一比較サイト合計!$AK$3:$AK$25</c:f>
              <c:numCache>
                <c:formatCode>General</c:formatCode>
                <c:ptCount val="23"/>
                <c:pt idx="2" formatCode="#,##0_);[Red]\(#,##0\)">
                  <c:v>375.33333333333331</c:v>
                </c:pt>
                <c:pt idx="3" formatCode="#,##0_);[Red]\(#,##0\)">
                  <c:v>532.33333333333337</c:v>
                </c:pt>
                <c:pt idx="4" formatCode="#,##0_);[Red]\(#,##0\)">
                  <c:v>617.66666666666663</c:v>
                </c:pt>
                <c:pt idx="5" formatCode="#,##0_);[Red]\(#,##0\)">
                  <c:v>764</c:v>
                </c:pt>
                <c:pt idx="6" formatCode="#,##0_);[Red]\(#,##0\)">
                  <c:v>712.66666666666663</c:v>
                </c:pt>
                <c:pt idx="7" formatCode="#,##0_);[Red]\(#,##0\)">
                  <c:v>662.66666666666663</c:v>
                </c:pt>
                <c:pt idx="8" formatCode="#,##0_);[Red]\(#,##0\)">
                  <c:v>559.33333333333337</c:v>
                </c:pt>
                <c:pt idx="9" formatCode="#,##0_);[Red]\(#,##0\)">
                  <c:v>508.33333333333331</c:v>
                </c:pt>
                <c:pt idx="10" formatCode="#,##0_);[Red]\(#,##0\)">
                  <c:v>540</c:v>
                </c:pt>
                <c:pt idx="11" formatCode="#,##0_);[Red]\(#,##0\)">
                  <c:v>539.33333333333337</c:v>
                </c:pt>
                <c:pt idx="12" formatCode="#,##0_);[Red]\(#,##0\)">
                  <c:v>518</c:v>
                </c:pt>
                <c:pt idx="13" formatCode="#,##0_);[Red]\(#,##0\)">
                  <c:v>531.66666666666663</c:v>
                </c:pt>
                <c:pt idx="14" formatCode="#,##0_);[Red]\(#,##0\)">
                  <c:v>592.33333333333337</c:v>
                </c:pt>
                <c:pt idx="15" formatCode="#,##0_);[Red]\(#,##0\)">
                  <c:v>969.33333333333337</c:v>
                </c:pt>
                <c:pt idx="16" formatCode="#,##0_);[Red]\(#,##0\)">
                  <c:v>1007.3333333333334</c:v>
                </c:pt>
                <c:pt idx="17" formatCode="#,##0_);[Red]\(#,##0\)">
                  <c:v>1097</c:v>
                </c:pt>
                <c:pt idx="18" formatCode="#,##0_);[Red]\(#,##0\)">
                  <c:v>933.33333333333337</c:v>
                </c:pt>
                <c:pt idx="19" formatCode="#,##0_);[Red]\(#,##0\)">
                  <c:v>966.33333333333337</c:v>
                </c:pt>
                <c:pt idx="20" formatCode="#,##0_);[Red]\(#,##0\)">
                  <c:v>963</c:v>
                </c:pt>
                <c:pt idx="21" formatCode="#,##0_);[Red]\(#,##0\)">
                  <c:v>873.66666666666663</c:v>
                </c:pt>
                <c:pt idx="22" formatCode="#,##0_);[Red]\(#,##0\)">
                  <c:v>818.33333333333337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C-402B-9375-FBF43A27E558}"/>
            </c:ext>
          </c:extLst>
        </c:ser>
        <c:ser>
          <c:idx val="1"/>
          <c:order val="1"/>
          <c:tx>
            <c:strRef>
              <c:f>RJC日本一比較サイト合計!$AL$1:$AL$2</c:f>
              <c:strCache>
                <c:ptCount val="2"/>
                <c:pt idx="1">
                  <c:v>6ヶ月平均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RJC日本一比較サイト合計!$AJ$3:$AJ$25</c:f>
              <c:numCache>
                <c:formatCode>General</c:formatCode>
                <c:ptCount val="23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  <c:pt idx="10">
                  <c:v>201811</c:v>
                </c:pt>
                <c:pt idx="11">
                  <c:v>201812</c:v>
                </c:pt>
                <c:pt idx="12">
                  <c:v>201901</c:v>
                </c:pt>
                <c:pt idx="13">
                  <c:v>201902</c:v>
                </c:pt>
                <c:pt idx="14">
                  <c:v>201903</c:v>
                </c:pt>
                <c:pt idx="15">
                  <c:v>201904</c:v>
                </c:pt>
                <c:pt idx="16">
                  <c:v>201905</c:v>
                </c:pt>
                <c:pt idx="17">
                  <c:v>201906</c:v>
                </c:pt>
                <c:pt idx="18">
                  <c:v>201907</c:v>
                </c:pt>
                <c:pt idx="19">
                  <c:v>201908</c:v>
                </c:pt>
                <c:pt idx="20">
                  <c:v>201909</c:v>
                </c:pt>
                <c:pt idx="21">
                  <c:v>201910</c:v>
                </c:pt>
                <c:pt idx="22">
                  <c:v>201911</c:v>
                </c:pt>
              </c:numCache>
            </c:numRef>
          </c:cat>
          <c:val>
            <c:numRef>
              <c:f>RJC日本一比較サイト合計!$AL$3:$AL$25</c:f>
              <c:numCache>
                <c:formatCode>General</c:formatCode>
                <c:ptCount val="23"/>
                <c:pt idx="5" formatCode="#,##0_);[Red]\(#,##0\)">
                  <c:v>569.66666666666663</c:v>
                </c:pt>
                <c:pt idx="6" formatCode="#,##0_);[Red]\(#,##0\)">
                  <c:v>622.5</c:v>
                </c:pt>
                <c:pt idx="7" formatCode="#,##0_);[Red]\(#,##0\)">
                  <c:v>640.16666666666663</c:v>
                </c:pt>
                <c:pt idx="8" formatCode="#,##0_);[Red]\(#,##0\)">
                  <c:v>661.66666666666663</c:v>
                </c:pt>
                <c:pt idx="9" formatCode="#,##0_);[Red]\(#,##0\)">
                  <c:v>610.5</c:v>
                </c:pt>
                <c:pt idx="10" formatCode="#,##0_);[Red]\(#,##0\)">
                  <c:v>601.33333333333337</c:v>
                </c:pt>
                <c:pt idx="11" formatCode="#,##0_);[Red]\(#,##0\)">
                  <c:v>549.33333333333337</c:v>
                </c:pt>
                <c:pt idx="12" formatCode="#,##0_);[Red]\(#,##0\)">
                  <c:v>513.16666666666663</c:v>
                </c:pt>
                <c:pt idx="13" formatCode="#,##0_);[Red]\(#,##0\)">
                  <c:v>535.83333333333337</c:v>
                </c:pt>
                <c:pt idx="14" formatCode="#,##0_);[Red]\(#,##0\)">
                  <c:v>565.83333333333337</c:v>
                </c:pt>
                <c:pt idx="15" formatCode="#,##0_);[Red]\(#,##0\)">
                  <c:v>743.66666666666663</c:v>
                </c:pt>
                <c:pt idx="16" formatCode="#,##0_);[Red]\(#,##0\)">
                  <c:v>769.5</c:v>
                </c:pt>
                <c:pt idx="17" formatCode="#,##0_);[Red]\(#,##0\)">
                  <c:v>844.66666666666663</c:v>
                </c:pt>
                <c:pt idx="18" formatCode="#,##0_);[Red]\(#,##0\)">
                  <c:v>951.33333333333337</c:v>
                </c:pt>
                <c:pt idx="19" formatCode="#,##0_);[Red]\(#,##0\)">
                  <c:v>986.83333333333337</c:v>
                </c:pt>
                <c:pt idx="20" formatCode="#,##0_);[Red]\(#,##0\)">
                  <c:v>1030</c:v>
                </c:pt>
                <c:pt idx="21" formatCode="#,##0_);[Red]\(#,##0\)">
                  <c:v>903.5</c:v>
                </c:pt>
                <c:pt idx="22" formatCode="#,##0_);[Red]\(#,##0\)">
                  <c:v>892.33333333333337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C-402B-9375-FBF43A27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52168"/>
        <c:axId val="428852344"/>
      </c:lineChart>
      <c:catAx>
        <c:axId val="200452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852344"/>
        <c:crosses val="autoZero"/>
        <c:auto val="1"/>
        <c:lblAlgn val="ctr"/>
        <c:lblOffset val="100"/>
        <c:noMultiLvlLbl val="0"/>
      </c:catAx>
      <c:valAx>
        <c:axId val="42885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5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加入者数移動平均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一人親方RJC!$AG$1:$AG$2</c:f>
              <c:strCache>
                <c:ptCount val="2"/>
                <c:pt idx="1">
                  <c:v>3ヶ月平均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一人親方RJC!$AF$10:$AF$48</c:f>
              <c:numCache>
                <c:formatCode>General</c:formatCode>
                <c:ptCount val="39"/>
                <c:pt idx="0">
                  <c:v>201808</c:v>
                </c:pt>
                <c:pt idx="1">
                  <c:v>201809</c:v>
                </c:pt>
                <c:pt idx="2">
                  <c:v>201810</c:v>
                </c:pt>
                <c:pt idx="3">
                  <c:v>201811</c:v>
                </c:pt>
                <c:pt idx="4">
                  <c:v>201812</c:v>
                </c:pt>
                <c:pt idx="5">
                  <c:v>201901</c:v>
                </c:pt>
                <c:pt idx="6">
                  <c:v>201902</c:v>
                </c:pt>
                <c:pt idx="7">
                  <c:v>201903</c:v>
                </c:pt>
                <c:pt idx="8">
                  <c:v>201904</c:v>
                </c:pt>
                <c:pt idx="9">
                  <c:v>201905</c:v>
                </c:pt>
                <c:pt idx="10">
                  <c:v>201906</c:v>
                </c:pt>
                <c:pt idx="11">
                  <c:v>201907</c:v>
                </c:pt>
                <c:pt idx="12">
                  <c:v>201908</c:v>
                </c:pt>
                <c:pt idx="13">
                  <c:v>201909</c:v>
                </c:pt>
                <c:pt idx="14">
                  <c:v>201910</c:v>
                </c:pt>
                <c:pt idx="15">
                  <c:v>201911</c:v>
                </c:pt>
                <c:pt idx="16">
                  <c:v>201912</c:v>
                </c:pt>
                <c:pt idx="17">
                  <c:v>202001</c:v>
                </c:pt>
                <c:pt idx="18">
                  <c:v>202002</c:v>
                </c:pt>
                <c:pt idx="19">
                  <c:v>202003</c:v>
                </c:pt>
                <c:pt idx="20">
                  <c:v>202004</c:v>
                </c:pt>
                <c:pt idx="21">
                  <c:v>202005</c:v>
                </c:pt>
                <c:pt idx="22">
                  <c:v>202006</c:v>
                </c:pt>
                <c:pt idx="23">
                  <c:v>202007</c:v>
                </c:pt>
                <c:pt idx="24">
                  <c:v>202008</c:v>
                </c:pt>
                <c:pt idx="25">
                  <c:v>202009</c:v>
                </c:pt>
                <c:pt idx="26">
                  <c:v>202010</c:v>
                </c:pt>
                <c:pt idx="27">
                  <c:v>202011</c:v>
                </c:pt>
                <c:pt idx="28">
                  <c:v>202012</c:v>
                </c:pt>
                <c:pt idx="29">
                  <c:v>202101</c:v>
                </c:pt>
                <c:pt idx="30">
                  <c:v>202102</c:v>
                </c:pt>
                <c:pt idx="31">
                  <c:v>202103</c:v>
                </c:pt>
                <c:pt idx="32">
                  <c:v>202104</c:v>
                </c:pt>
                <c:pt idx="33">
                  <c:v>202105</c:v>
                </c:pt>
                <c:pt idx="34">
                  <c:v>202106</c:v>
                </c:pt>
                <c:pt idx="35">
                  <c:v>202107</c:v>
                </c:pt>
                <c:pt idx="36">
                  <c:v>202108</c:v>
                </c:pt>
                <c:pt idx="37">
                  <c:v>202109</c:v>
                </c:pt>
                <c:pt idx="38">
                  <c:v>202110</c:v>
                </c:pt>
              </c:numCache>
            </c:numRef>
          </c:cat>
          <c:val>
            <c:numRef>
              <c:f>一人親方RJC!$AG$10:$AG$48</c:f>
              <c:numCache>
                <c:formatCode>#,##0_);[Red]\(#,##0\)</c:formatCode>
                <c:ptCount val="39"/>
                <c:pt idx="0">
                  <c:v>587.33333333333337</c:v>
                </c:pt>
                <c:pt idx="1">
                  <c:v>536</c:v>
                </c:pt>
                <c:pt idx="2">
                  <c:v>509</c:v>
                </c:pt>
                <c:pt idx="3">
                  <c:v>537.33333333333337</c:v>
                </c:pt>
                <c:pt idx="4">
                  <c:v>507</c:v>
                </c:pt>
                <c:pt idx="5">
                  <c:v>508.66666666666669</c:v>
                </c:pt>
                <c:pt idx="6">
                  <c:v>520.66666666666663</c:v>
                </c:pt>
                <c:pt idx="7">
                  <c:v>794</c:v>
                </c:pt>
                <c:pt idx="8">
                  <c:v>973</c:v>
                </c:pt>
                <c:pt idx="9">
                  <c:v>1042</c:v>
                </c:pt>
                <c:pt idx="10">
                  <c:v>954.66666666666663</c:v>
                </c:pt>
                <c:pt idx="11">
                  <c:v>959.66666666666663</c:v>
                </c:pt>
                <c:pt idx="12">
                  <c:v>964.33333333333337</c:v>
                </c:pt>
                <c:pt idx="13">
                  <c:v>945</c:v>
                </c:pt>
                <c:pt idx="14">
                  <c:v>834.66666666666663</c:v>
                </c:pt>
                <c:pt idx="15">
                  <c:v>774</c:v>
                </c:pt>
                <c:pt idx="16">
                  <c:v>632.33333333333337</c:v>
                </c:pt>
                <c:pt idx="17">
                  <c:v>548</c:v>
                </c:pt>
                <c:pt idx="18">
                  <c:v>499.66666666666669</c:v>
                </c:pt>
                <c:pt idx="19">
                  <c:v>608.33333333333337</c:v>
                </c:pt>
                <c:pt idx="20">
                  <c:v>811.66666666666663</c:v>
                </c:pt>
                <c:pt idx="21">
                  <c:v>953.66666666666663</c:v>
                </c:pt>
                <c:pt idx="22">
                  <c:v>972.33333333333337</c:v>
                </c:pt>
                <c:pt idx="23">
                  <c:v>864</c:v>
                </c:pt>
                <c:pt idx="24">
                  <c:v>755.33333333333337</c:v>
                </c:pt>
                <c:pt idx="25">
                  <c:v>677.33333333333337</c:v>
                </c:pt>
                <c:pt idx="26">
                  <c:v>611.66666666666663</c:v>
                </c:pt>
                <c:pt idx="27">
                  <c:v>574.33333333333337</c:v>
                </c:pt>
                <c:pt idx="28">
                  <c:v>497</c:v>
                </c:pt>
                <c:pt idx="29">
                  <c:v>449.66666666666669</c:v>
                </c:pt>
                <c:pt idx="30">
                  <c:v>470.66666666666669</c:v>
                </c:pt>
                <c:pt idx="31">
                  <c:v>723.33333333333337</c:v>
                </c:pt>
                <c:pt idx="32">
                  <c:v>956</c:v>
                </c:pt>
                <c:pt idx="33">
                  <c:v>1069.3333333333333</c:v>
                </c:pt>
                <c:pt idx="34">
                  <c:v>972.66666666666663</c:v>
                </c:pt>
                <c:pt idx="35">
                  <c:v>884</c:v>
                </c:pt>
                <c:pt idx="36">
                  <c:v>873.66666666666663</c:v>
                </c:pt>
                <c:pt idx="37">
                  <c:v>869.66666666666663</c:v>
                </c:pt>
                <c:pt idx="38">
                  <c:v>847.66666666666663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6-4A6A-AB51-015FB9AD7EE1}"/>
            </c:ext>
          </c:extLst>
        </c:ser>
        <c:ser>
          <c:idx val="1"/>
          <c:order val="1"/>
          <c:tx>
            <c:strRef>
              <c:f>一人親方RJC!$AH$1:$AH$2</c:f>
              <c:strCache>
                <c:ptCount val="2"/>
                <c:pt idx="1">
                  <c:v>6ヶ月平均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一人親方RJC!$AF$10:$AF$48</c:f>
              <c:numCache>
                <c:formatCode>General</c:formatCode>
                <c:ptCount val="39"/>
                <c:pt idx="0">
                  <c:v>201808</c:v>
                </c:pt>
                <c:pt idx="1">
                  <c:v>201809</c:v>
                </c:pt>
                <c:pt idx="2">
                  <c:v>201810</c:v>
                </c:pt>
                <c:pt idx="3">
                  <c:v>201811</c:v>
                </c:pt>
                <c:pt idx="4">
                  <c:v>201812</c:v>
                </c:pt>
                <c:pt idx="5">
                  <c:v>201901</c:v>
                </c:pt>
                <c:pt idx="6">
                  <c:v>201902</c:v>
                </c:pt>
                <c:pt idx="7">
                  <c:v>201903</c:v>
                </c:pt>
                <c:pt idx="8">
                  <c:v>201904</c:v>
                </c:pt>
                <c:pt idx="9">
                  <c:v>201905</c:v>
                </c:pt>
                <c:pt idx="10">
                  <c:v>201906</c:v>
                </c:pt>
                <c:pt idx="11">
                  <c:v>201907</c:v>
                </c:pt>
                <c:pt idx="12">
                  <c:v>201908</c:v>
                </c:pt>
                <c:pt idx="13">
                  <c:v>201909</c:v>
                </c:pt>
                <c:pt idx="14">
                  <c:v>201910</c:v>
                </c:pt>
                <c:pt idx="15">
                  <c:v>201911</c:v>
                </c:pt>
                <c:pt idx="16">
                  <c:v>201912</c:v>
                </c:pt>
                <c:pt idx="17">
                  <c:v>202001</c:v>
                </c:pt>
                <c:pt idx="18">
                  <c:v>202002</c:v>
                </c:pt>
                <c:pt idx="19">
                  <c:v>202003</c:v>
                </c:pt>
                <c:pt idx="20">
                  <c:v>202004</c:v>
                </c:pt>
                <c:pt idx="21">
                  <c:v>202005</c:v>
                </c:pt>
                <c:pt idx="22">
                  <c:v>202006</c:v>
                </c:pt>
                <c:pt idx="23">
                  <c:v>202007</c:v>
                </c:pt>
                <c:pt idx="24">
                  <c:v>202008</c:v>
                </c:pt>
                <c:pt idx="25">
                  <c:v>202009</c:v>
                </c:pt>
                <c:pt idx="26">
                  <c:v>202010</c:v>
                </c:pt>
                <c:pt idx="27">
                  <c:v>202011</c:v>
                </c:pt>
                <c:pt idx="28">
                  <c:v>202012</c:v>
                </c:pt>
                <c:pt idx="29">
                  <c:v>202101</c:v>
                </c:pt>
                <c:pt idx="30">
                  <c:v>202102</c:v>
                </c:pt>
                <c:pt idx="31">
                  <c:v>202103</c:v>
                </c:pt>
                <c:pt idx="32">
                  <c:v>202104</c:v>
                </c:pt>
                <c:pt idx="33">
                  <c:v>202105</c:v>
                </c:pt>
                <c:pt idx="34">
                  <c:v>202106</c:v>
                </c:pt>
                <c:pt idx="35">
                  <c:v>202107</c:v>
                </c:pt>
                <c:pt idx="36">
                  <c:v>202108</c:v>
                </c:pt>
                <c:pt idx="37">
                  <c:v>202109</c:v>
                </c:pt>
                <c:pt idx="38">
                  <c:v>202110</c:v>
                </c:pt>
              </c:numCache>
            </c:numRef>
          </c:cat>
          <c:val>
            <c:numRef>
              <c:f>一人親方RJC!$AH$10:$AH$48</c:f>
              <c:numCache>
                <c:formatCode>#,##0_);[Red]\(#,##0\)</c:formatCode>
                <c:ptCount val="39"/>
                <c:pt idx="3">
                  <c:v>562.33333333333337</c:v>
                </c:pt>
                <c:pt idx="4">
                  <c:v>521.5</c:v>
                </c:pt>
                <c:pt idx="5">
                  <c:v>508.83333333333331</c:v>
                </c:pt>
                <c:pt idx="6">
                  <c:v>529</c:v>
                </c:pt>
                <c:pt idx="7">
                  <c:v>650.5</c:v>
                </c:pt>
                <c:pt idx="8">
                  <c:v>740.83333333333337</c:v>
                </c:pt>
                <c:pt idx="9">
                  <c:v>781.33333333333337</c:v>
                </c:pt>
                <c:pt idx="10">
                  <c:v>874.33333333333337</c:v>
                </c:pt>
                <c:pt idx="11">
                  <c:v>966.33333333333337</c:v>
                </c:pt>
                <c:pt idx="12">
                  <c:v>1003.1666666666666</c:v>
                </c:pt>
                <c:pt idx="13">
                  <c:v>949.83333333333337</c:v>
                </c:pt>
                <c:pt idx="14">
                  <c:v>897.16666666666663</c:v>
                </c:pt>
                <c:pt idx="15">
                  <c:v>869.16666666666663</c:v>
                </c:pt>
                <c:pt idx="16">
                  <c:v>788.66666666666663</c:v>
                </c:pt>
                <c:pt idx="17">
                  <c:v>691.33333333333337</c:v>
                </c:pt>
                <c:pt idx="18">
                  <c:v>636.83333333333337</c:v>
                </c:pt>
                <c:pt idx="19">
                  <c:v>620.33333333333337</c:v>
                </c:pt>
                <c:pt idx="20">
                  <c:v>679.83333333333337</c:v>
                </c:pt>
                <c:pt idx="21">
                  <c:v>726.66666666666663</c:v>
                </c:pt>
                <c:pt idx="22">
                  <c:v>790.33333333333337</c:v>
                </c:pt>
                <c:pt idx="23">
                  <c:v>837.83333333333337</c:v>
                </c:pt>
                <c:pt idx="24">
                  <c:v>854.5</c:v>
                </c:pt>
                <c:pt idx="25">
                  <c:v>824.83333333333337</c:v>
                </c:pt>
                <c:pt idx="26">
                  <c:v>737.83333333333337</c:v>
                </c:pt>
                <c:pt idx="27">
                  <c:v>664.83333333333337</c:v>
                </c:pt>
                <c:pt idx="28">
                  <c:v>587.16666666666663</c:v>
                </c:pt>
                <c:pt idx="29">
                  <c:v>530.66666666666663</c:v>
                </c:pt>
                <c:pt idx="30">
                  <c:v>522.5</c:v>
                </c:pt>
                <c:pt idx="31">
                  <c:v>610.16666666666663</c:v>
                </c:pt>
                <c:pt idx="32">
                  <c:v>702.83333333333337</c:v>
                </c:pt>
                <c:pt idx="33">
                  <c:v>770</c:v>
                </c:pt>
                <c:pt idx="34">
                  <c:v>848</c:v>
                </c:pt>
                <c:pt idx="35">
                  <c:v>920</c:v>
                </c:pt>
                <c:pt idx="36">
                  <c:v>971.5</c:v>
                </c:pt>
                <c:pt idx="37">
                  <c:v>921.16666666666663</c:v>
                </c:pt>
                <c:pt idx="38">
                  <c:v>865.83333333333337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6-4A6A-AB51-015FB9AD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34344"/>
        <c:axId val="202734728"/>
      </c:lineChart>
      <c:catAx>
        <c:axId val="202734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34728"/>
        <c:crosses val="autoZero"/>
        <c:auto val="1"/>
        <c:lblAlgn val="ctr"/>
        <c:lblOffset val="100"/>
        <c:noMultiLvlLbl val="0"/>
      </c:catAx>
      <c:valAx>
        <c:axId val="20273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3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加入者数移動平均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事務組合RJC!$AP$1:$AP$2</c:f>
              <c:strCache>
                <c:ptCount val="2"/>
                <c:pt idx="1">
                  <c:v>3ヶ月平均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事務組合RJC!$AO$10:$AO$36</c:f>
              <c:numCache>
                <c:formatCode>General</c:formatCode>
                <c:ptCount val="27"/>
                <c:pt idx="0">
                  <c:v>201808</c:v>
                </c:pt>
                <c:pt idx="1">
                  <c:v>201809</c:v>
                </c:pt>
                <c:pt idx="2">
                  <c:v>201810</c:v>
                </c:pt>
                <c:pt idx="3">
                  <c:v>201811</c:v>
                </c:pt>
                <c:pt idx="4">
                  <c:v>201812</c:v>
                </c:pt>
                <c:pt idx="5">
                  <c:v>201901</c:v>
                </c:pt>
                <c:pt idx="6">
                  <c:v>201902</c:v>
                </c:pt>
                <c:pt idx="7">
                  <c:v>201903</c:v>
                </c:pt>
                <c:pt idx="8">
                  <c:v>201904</c:v>
                </c:pt>
                <c:pt idx="9">
                  <c:v>201905</c:v>
                </c:pt>
                <c:pt idx="10">
                  <c:v>201906</c:v>
                </c:pt>
                <c:pt idx="11">
                  <c:v>201907</c:v>
                </c:pt>
                <c:pt idx="12">
                  <c:v>201908</c:v>
                </c:pt>
                <c:pt idx="13">
                  <c:v>201909</c:v>
                </c:pt>
                <c:pt idx="14">
                  <c:v>201910</c:v>
                </c:pt>
                <c:pt idx="15">
                  <c:v>201911</c:v>
                </c:pt>
                <c:pt idx="16">
                  <c:v>201912</c:v>
                </c:pt>
                <c:pt idx="17">
                  <c:v>202001</c:v>
                </c:pt>
                <c:pt idx="18">
                  <c:v>202002</c:v>
                </c:pt>
                <c:pt idx="19">
                  <c:v>202003</c:v>
                </c:pt>
                <c:pt idx="20">
                  <c:v>202004</c:v>
                </c:pt>
                <c:pt idx="21">
                  <c:v>202005</c:v>
                </c:pt>
                <c:pt idx="22">
                  <c:v>202006</c:v>
                </c:pt>
                <c:pt idx="23">
                  <c:v>202007</c:v>
                </c:pt>
                <c:pt idx="24">
                  <c:v>202008</c:v>
                </c:pt>
                <c:pt idx="25">
                  <c:v>202009</c:v>
                </c:pt>
                <c:pt idx="26">
                  <c:v>202010</c:v>
                </c:pt>
              </c:numCache>
            </c:numRef>
          </c:cat>
          <c:val>
            <c:numRef>
              <c:f>事務組合RJC!$AP$10:$AP$36</c:f>
              <c:numCache>
                <c:formatCode>#,##0_);[Red]\(#,##0\)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5-4CC6-99FB-E9B243795374}"/>
            </c:ext>
          </c:extLst>
        </c:ser>
        <c:ser>
          <c:idx val="1"/>
          <c:order val="1"/>
          <c:tx>
            <c:strRef>
              <c:f>事務組合RJC!$AQ$1:$AQ$2</c:f>
              <c:strCache>
                <c:ptCount val="2"/>
                <c:pt idx="1">
                  <c:v>6ヶ月平均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事務組合RJC!$AO$10:$AO$36</c:f>
              <c:numCache>
                <c:formatCode>General</c:formatCode>
                <c:ptCount val="27"/>
                <c:pt idx="0">
                  <c:v>201808</c:v>
                </c:pt>
                <c:pt idx="1">
                  <c:v>201809</c:v>
                </c:pt>
                <c:pt idx="2">
                  <c:v>201810</c:v>
                </c:pt>
                <c:pt idx="3">
                  <c:v>201811</c:v>
                </c:pt>
                <c:pt idx="4">
                  <c:v>201812</c:v>
                </c:pt>
                <c:pt idx="5">
                  <c:v>201901</c:v>
                </c:pt>
                <c:pt idx="6">
                  <c:v>201902</c:v>
                </c:pt>
                <c:pt idx="7">
                  <c:v>201903</c:v>
                </c:pt>
                <c:pt idx="8">
                  <c:v>201904</c:v>
                </c:pt>
                <c:pt idx="9">
                  <c:v>201905</c:v>
                </c:pt>
                <c:pt idx="10">
                  <c:v>201906</c:v>
                </c:pt>
                <c:pt idx="11">
                  <c:v>201907</c:v>
                </c:pt>
                <c:pt idx="12">
                  <c:v>201908</c:v>
                </c:pt>
                <c:pt idx="13">
                  <c:v>201909</c:v>
                </c:pt>
                <c:pt idx="14">
                  <c:v>201910</c:v>
                </c:pt>
                <c:pt idx="15">
                  <c:v>201911</c:v>
                </c:pt>
                <c:pt idx="16">
                  <c:v>201912</c:v>
                </c:pt>
                <c:pt idx="17">
                  <c:v>202001</c:v>
                </c:pt>
                <c:pt idx="18">
                  <c:v>202002</c:v>
                </c:pt>
                <c:pt idx="19">
                  <c:v>202003</c:v>
                </c:pt>
                <c:pt idx="20">
                  <c:v>202004</c:v>
                </c:pt>
                <c:pt idx="21">
                  <c:v>202005</c:v>
                </c:pt>
                <c:pt idx="22">
                  <c:v>202006</c:v>
                </c:pt>
                <c:pt idx="23">
                  <c:v>202007</c:v>
                </c:pt>
                <c:pt idx="24">
                  <c:v>202008</c:v>
                </c:pt>
                <c:pt idx="25">
                  <c:v>202009</c:v>
                </c:pt>
                <c:pt idx="26">
                  <c:v>202010</c:v>
                </c:pt>
              </c:numCache>
            </c:numRef>
          </c:cat>
          <c:val>
            <c:numRef>
              <c:f>事務組合RJC!$AQ$10:$AQ$36</c:f>
              <c:numCache>
                <c:formatCode>#,##0_);[Red]\(#,##0\)</c:formatCode>
                <c:ptCount val="27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5-4CC6-99FB-E9B243795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65464"/>
        <c:axId val="202889656"/>
      </c:lineChart>
      <c:catAx>
        <c:axId val="202865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889656"/>
        <c:crosses val="autoZero"/>
        <c:auto val="1"/>
        <c:lblAlgn val="ctr"/>
        <c:lblOffset val="100"/>
        <c:noMultiLvlLbl val="0"/>
      </c:catAx>
      <c:valAx>
        <c:axId val="20288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86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17</xdr:col>
      <xdr:colOff>0</xdr:colOff>
      <xdr:row>59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50</xdr:row>
      <xdr:rowOff>104775</xdr:rowOff>
    </xdr:from>
    <xdr:to>
      <xdr:col>25</xdr:col>
      <xdr:colOff>9525</xdr:colOff>
      <xdr:row>81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64207" y="1626220"/>
          <a:ext cx="1533293" cy="232317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←</a:t>
          </a:r>
          <a:r>
            <a:rPr kumimoji="1" lang="en-US" altLang="ja-JP" sz="1100"/>
            <a:t>SF</a:t>
          </a:r>
          <a:r>
            <a:rPr kumimoji="1" lang="ja-JP" altLang="en-US" sz="1100"/>
            <a:t>レポート</a:t>
          </a:r>
          <a:endParaRPr kumimoji="1" lang="en-US" altLang="ja-JP" sz="1100"/>
        </a:p>
        <a:p>
          <a:pPr algn="l"/>
          <a:r>
            <a:rPr kumimoji="1" lang="ja-JP" altLang="en-US" sz="1100"/>
            <a:t>　から取得</a:t>
          </a:r>
          <a:endParaRPr kumimoji="1" lang="en-US" altLang="ja-JP" sz="1100"/>
        </a:p>
        <a:p>
          <a:pPr algn="l"/>
          <a:r>
            <a:rPr kumimoji="1" lang="ja-JP" altLang="en-US" sz="1100"/>
            <a:t>（手続完了メール送信日時を元に集計）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50</xdr:row>
      <xdr:rowOff>0</xdr:rowOff>
    </xdr:from>
    <xdr:to>
      <xdr:col>27</xdr:col>
      <xdr:colOff>0</xdr:colOff>
      <xdr:row>81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0F83A4C-E340-4629-8C3A-26DD2746C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21"/>
  <sheetViews>
    <sheetView workbookViewId="0">
      <selection activeCell="J6" sqref="J6"/>
    </sheetView>
  </sheetViews>
  <sheetFormatPr defaultColWidth="9" defaultRowHeight="16.5"/>
  <cols>
    <col min="1" max="1" width="9" style="35"/>
    <col min="2" max="12" width="10.625" style="35" customWidth="1"/>
    <col min="13" max="16384" width="9" style="35"/>
  </cols>
  <sheetData>
    <row r="4" spans="2:14">
      <c r="L4" s="35" t="s">
        <v>28</v>
      </c>
    </row>
    <row r="5" spans="2:14">
      <c r="B5" s="36" t="s">
        <v>29</v>
      </c>
      <c r="C5" s="37" t="s">
        <v>30</v>
      </c>
      <c r="D5" s="35" t="s">
        <v>31</v>
      </c>
      <c r="E5" s="36" t="s">
        <v>32</v>
      </c>
      <c r="F5" s="35" t="s">
        <v>33</v>
      </c>
      <c r="G5" s="35" t="s">
        <v>34</v>
      </c>
      <c r="H5" s="35" t="s">
        <v>35</v>
      </c>
      <c r="I5" s="37" t="s">
        <v>36</v>
      </c>
      <c r="J5" s="35" t="s">
        <v>37</v>
      </c>
      <c r="L5" s="35" t="s">
        <v>30</v>
      </c>
      <c r="M5" s="35" t="s">
        <v>38</v>
      </c>
      <c r="N5" s="35">
        <v>10</v>
      </c>
    </row>
    <row r="6" spans="2:14">
      <c r="B6" s="38">
        <v>9950</v>
      </c>
      <c r="C6" s="39">
        <v>160</v>
      </c>
      <c r="D6" s="40">
        <f>B6-C6</f>
        <v>9790</v>
      </c>
      <c r="E6" s="38">
        <v>800</v>
      </c>
      <c r="F6" s="40">
        <f>B6*E6</f>
        <v>7960000</v>
      </c>
      <c r="G6" s="40">
        <f>C6*E6</f>
        <v>128000</v>
      </c>
      <c r="H6" s="40">
        <f>D6*E6</f>
        <v>7832000</v>
      </c>
      <c r="I6" s="39">
        <v>7420000</v>
      </c>
      <c r="J6" s="40">
        <f>H6-I6</f>
        <v>412000</v>
      </c>
      <c r="M6" s="35" t="s">
        <v>39</v>
      </c>
      <c r="N6" s="35">
        <v>44</v>
      </c>
    </row>
    <row r="7" spans="2:14">
      <c r="B7" s="40"/>
      <c r="C7" s="40"/>
      <c r="D7" s="40"/>
      <c r="E7" s="40"/>
      <c r="F7" s="40"/>
      <c r="G7" s="40"/>
      <c r="H7" s="40"/>
      <c r="I7" s="40"/>
      <c r="J7" s="40"/>
      <c r="M7" s="35" t="s">
        <v>40</v>
      </c>
      <c r="N7" s="35">
        <v>12</v>
      </c>
    </row>
    <row r="8" spans="2:14">
      <c r="B8" s="40"/>
      <c r="C8" s="40"/>
      <c r="D8" s="40"/>
      <c r="E8" s="40"/>
      <c r="F8" s="40"/>
      <c r="G8" s="40"/>
      <c r="H8" s="40"/>
      <c r="I8" s="40"/>
      <c r="J8" s="40"/>
      <c r="M8" s="35" t="s">
        <v>41</v>
      </c>
      <c r="N8" s="35">
        <v>94</v>
      </c>
    </row>
    <row r="9" spans="2:14">
      <c r="B9" s="40"/>
      <c r="C9" s="40"/>
      <c r="D9" s="40"/>
      <c r="E9" s="40"/>
      <c r="F9" s="40"/>
      <c r="G9" s="40"/>
      <c r="H9" s="40"/>
      <c r="I9" s="40"/>
      <c r="J9" s="40"/>
      <c r="M9" s="35" t="s">
        <v>42</v>
      </c>
      <c r="N9" s="35">
        <f>SUM(N5:N8)</f>
        <v>160</v>
      </c>
    </row>
    <row r="10" spans="2:14">
      <c r="B10" s="40"/>
      <c r="C10" s="40"/>
      <c r="D10" s="40"/>
      <c r="E10" s="40"/>
      <c r="F10" s="40"/>
      <c r="G10" s="40"/>
      <c r="H10" s="40"/>
      <c r="I10" s="40"/>
      <c r="J10" s="40"/>
    </row>
    <row r="11" spans="2:14">
      <c r="B11" s="40"/>
      <c r="C11" s="40"/>
      <c r="D11" s="40"/>
      <c r="E11" s="40"/>
      <c r="F11" s="40"/>
      <c r="G11" s="40"/>
      <c r="H11" s="40"/>
      <c r="I11" s="40"/>
      <c r="J11" s="40"/>
      <c r="L11" s="35" t="s">
        <v>43</v>
      </c>
      <c r="M11" s="35" t="s">
        <v>44</v>
      </c>
      <c r="N11" s="40">
        <v>5020000</v>
      </c>
    </row>
    <row r="12" spans="2:14">
      <c r="B12" s="40"/>
      <c r="C12" s="40"/>
      <c r="D12" s="40"/>
      <c r="E12" s="40"/>
      <c r="F12" s="40"/>
      <c r="G12" s="40"/>
      <c r="H12" s="40"/>
      <c r="I12" s="40"/>
      <c r="J12" s="40"/>
      <c r="M12" s="35" t="s">
        <v>45</v>
      </c>
      <c r="N12" s="40">
        <v>1000000</v>
      </c>
    </row>
    <row r="13" spans="2:14">
      <c r="B13" s="40"/>
      <c r="C13" s="40"/>
      <c r="D13" s="40"/>
      <c r="E13" s="40"/>
      <c r="F13" s="40"/>
      <c r="G13" s="40"/>
      <c r="H13" s="40"/>
      <c r="I13" s="40"/>
      <c r="J13" s="40"/>
      <c r="M13" s="35" t="s">
        <v>46</v>
      </c>
      <c r="N13" s="40">
        <v>800000</v>
      </c>
    </row>
    <row r="14" spans="2:14">
      <c r="B14" s="40"/>
      <c r="C14" s="40"/>
      <c r="D14" s="40"/>
      <c r="E14" s="40"/>
      <c r="F14" s="40"/>
      <c r="G14" s="40"/>
      <c r="H14" s="40"/>
      <c r="I14" s="40"/>
      <c r="J14" s="40"/>
      <c r="M14" s="35" t="s">
        <v>47</v>
      </c>
      <c r="N14" s="40">
        <v>600000</v>
      </c>
    </row>
    <row r="15" spans="2:14">
      <c r="B15" s="40"/>
      <c r="C15" s="40"/>
      <c r="D15" s="40"/>
      <c r="E15" s="40"/>
      <c r="F15" s="40"/>
      <c r="G15" s="40"/>
      <c r="H15" s="40"/>
      <c r="I15" s="40"/>
      <c r="J15" s="40"/>
      <c r="M15" s="35" t="s">
        <v>42</v>
      </c>
      <c r="N15" s="41">
        <f>SUM(N11:N14)</f>
        <v>7420000</v>
      </c>
    </row>
    <row r="16" spans="2:14">
      <c r="B16" s="40"/>
      <c r="C16" s="40"/>
      <c r="D16" s="40"/>
      <c r="E16" s="40"/>
      <c r="F16" s="40"/>
      <c r="G16" s="40"/>
      <c r="H16" s="40"/>
      <c r="I16" s="40"/>
      <c r="J16" s="40"/>
    </row>
    <row r="17" spans="2:12">
      <c r="B17" s="40"/>
      <c r="C17" s="40"/>
      <c r="D17" s="40"/>
      <c r="E17" s="40"/>
      <c r="F17" s="40"/>
      <c r="G17" s="40"/>
      <c r="H17" s="40"/>
      <c r="I17" s="40"/>
      <c r="J17" s="40"/>
      <c r="L17" s="36" t="s">
        <v>48</v>
      </c>
    </row>
    <row r="18" spans="2:12">
      <c r="B18" s="40"/>
      <c r="C18" s="40"/>
      <c r="D18" s="40"/>
      <c r="E18" s="40"/>
      <c r="F18" s="40"/>
      <c r="G18" s="40"/>
      <c r="H18" s="40"/>
      <c r="I18" s="40"/>
      <c r="J18" s="40"/>
      <c r="L18" s="37" t="s">
        <v>49</v>
      </c>
    </row>
    <row r="19" spans="2:12">
      <c r="B19" s="40"/>
      <c r="C19" s="40"/>
      <c r="D19" s="40"/>
      <c r="E19" s="40"/>
      <c r="F19" s="40"/>
      <c r="G19" s="40"/>
      <c r="H19" s="40"/>
      <c r="I19" s="40"/>
      <c r="J19" s="40"/>
    </row>
    <row r="20" spans="2:12">
      <c r="B20" s="40"/>
      <c r="C20" s="40"/>
      <c r="D20" s="40"/>
      <c r="E20" s="40"/>
      <c r="F20" s="40"/>
      <c r="G20" s="40"/>
      <c r="H20" s="40"/>
      <c r="I20" s="40"/>
      <c r="J20" s="40"/>
    </row>
    <row r="21" spans="2:12">
      <c r="B21" s="40"/>
      <c r="C21" s="40"/>
      <c r="D21" s="40"/>
      <c r="E21" s="40"/>
      <c r="F21" s="40"/>
      <c r="G21" s="40"/>
      <c r="H21" s="40"/>
      <c r="I21" s="40"/>
      <c r="J21" s="40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7"/>
  <sheetViews>
    <sheetView zoomScale="82" zoomScaleNormal="100" workbookViewId="0">
      <pane xSplit="2" ySplit="2" topLeftCell="U9" activePane="bottomRight" state="frozen"/>
      <selection pane="topRight" activeCell="C1" sqref="C1"/>
      <selection pane="bottomLeft" activeCell="A3" sqref="A3"/>
      <selection pane="bottomRight" activeCell="AG1" sqref="AG1:AI1048576"/>
    </sheetView>
  </sheetViews>
  <sheetFormatPr defaultRowHeight="18.75"/>
  <cols>
    <col min="1" max="1" width="5.625" bestFit="1" customWidth="1"/>
    <col min="2" max="2" width="3.625" bestFit="1" customWidth="1"/>
    <col min="3" max="3" width="13.125" bestFit="1" customWidth="1"/>
    <col min="4" max="8" width="13.125" customWidth="1"/>
    <col min="9" max="9" width="8.125" style="1" bestFit="1" customWidth="1"/>
    <col min="10" max="10" width="9.625" style="1" bestFit="1" customWidth="1"/>
    <col min="11" max="11" width="12.375" style="1" bestFit="1" customWidth="1"/>
    <col min="12" max="12" width="11.5" style="1" bestFit="1" customWidth="1"/>
    <col min="13" max="13" width="10.625" style="1" bestFit="1" customWidth="1"/>
    <col min="14" max="14" width="9.625" style="1" bestFit="1" customWidth="1"/>
    <col min="15" max="15" width="11.5" style="1" bestFit="1" customWidth="1"/>
    <col min="16" max="16" width="10.625" style="1" bestFit="1" customWidth="1"/>
    <col min="17" max="17" width="12.375" style="1" bestFit="1" customWidth="1"/>
    <col min="18" max="18" width="10.625" style="17" bestFit="1" customWidth="1"/>
    <col min="19" max="19" width="10.125" style="17" bestFit="1" customWidth="1"/>
    <col min="20" max="20" width="10.375" style="17" bestFit="1" customWidth="1"/>
    <col min="21" max="21" width="13.5" style="29" bestFit="1" customWidth="1"/>
    <col min="22" max="22" width="10.625" style="13" customWidth="1"/>
    <col min="23" max="23" width="9.875" style="13" customWidth="1"/>
    <col min="24" max="24" width="11.125" style="13" bestFit="1" customWidth="1"/>
    <col min="25" max="25" width="13.375" style="31" customWidth="1"/>
    <col min="26" max="26" width="10.625" style="14" hidden="1" customWidth="1"/>
    <col min="27" max="27" width="9.875" style="14" hidden="1" customWidth="1"/>
    <col min="28" max="28" width="10.125" style="14" hidden="1" customWidth="1"/>
    <col min="29" max="29" width="13.375" style="14" hidden="1" customWidth="1"/>
    <col min="30" max="32" width="13.375" style="24" customWidth="1"/>
    <col min="33" max="33" width="44.375" customWidth="1"/>
    <col min="35" max="35" width="16.375" bestFit="1" customWidth="1"/>
    <col min="36" max="36" width="16.375" customWidth="1"/>
    <col min="37" max="37" width="10.125" bestFit="1" customWidth="1"/>
    <col min="38" max="42" width="10.125" customWidth="1"/>
    <col min="43" max="43" width="11.5" bestFit="1" customWidth="1"/>
    <col min="44" max="44" width="10.125" customWidth="1"/>
  </cols>
  <sheetData>
    <row r="1" spans="1:44">
      <c r="C1" s="52" t="s">
        <v>50</v>
      </c>
      <c r="E1" s="52" t="s">
        <v>50</v>
      </c>
      <c r="F1" s="52" t="s">
        <v>50</v>
      </c>
      <c r="I1" s="63" t="s">
        <v>50</v>
      </c>
      <c r="J1" s="53" t="s">
        <v>51</v>
      </c>
      <c r="L1" s="52" t="s">
        <v>50</v>
      </c>
      <c r="P1" s="53" t="s">
        <v>51</v>
      </c>
      <c r="R1" s="109" t="s">
        <v>5</v>
      </c>
      <c r="S1" s="110"/>
      <c r="T1" s="110"/>
      <c r="U1" s="111"/>
      <c r="V1" s="103" t="s">
        <v>6</v>
      </c>
      <c r="W1" s="104"/>
      <c r="X1" s="104"/>
      <c r="Y1" s="105"/>
      <c r="Z1" s="106" t="s">
        <v>7</v>
      </c>
      <c r="AA1" s="107"/>
      <c r="AB1" s="107"/>
      <c r="AC1" s="108"/>
      <c r="AD1" s="112" t="s">
        <v>12</v>
      </c>
      <c r="AE1" s="112"/>
      <c r="AF1" s="112"/>
    </row>
    <row r="2" spans="1:44" ht="56.25">
      <c r="A2" s="1" t="s">
        <v>3</v>
      </c>
      <c r="B2" s="1" t="s">
        <v>0</v>
      </c>
      <c r="C2" s="57" t="s">
        <v>4</v>
      </c>
      <c r="D2" s="2" t="s">
        <v>20</v>
      </c>
      <c r="E2" s="57" t="s">
        <v>23</v>
      </c>
      <c r="F2" s="57" t="s">
        <v>25</v>
      </c>
      <c r="G2" s="2" t="s">
        <v>26</v>
      </c>
      <c r="H2" s="60" t="s">
        <v>27</v>
      </c>
      <c r="I2" s="64" t="s">
        <v>29</v>
      </c>
      <c r="J2" s="55" t="s">
        <v>30</v>
      </c>
      <c r="K2" s="56" t="s">
        <v>31</v>
      </c>
      <c r="L2" s="54" t="s">
        <v>32</v>
      </c>
      <c r="M2" s="56" t="s">
        <v>33</v>
      </c>
      <c r="N2" s="56" t="s">
        <v>34</v>
      </c>
      <c r="O2" s="56" t="s">
        <v>35</v>
      </c>
      <c r="P2" s="55" t="s">
        <v>36</v>
      </c>
      <c r="Q2" s="56" t="s">
        <v>37</v>
      </c>
      <c r="R2" s="15" t="s">
        <v>2</v>
      </c>
      <c r="S2" s="15" t="s">
        <v>1</v>
      </c>
      <c r="T2" s="15" t="s">
        <v>24</v>
      </c>
      <c r="U2" s="16" t="s">
        <v>8</v>
      </c>
      <c r="V2" s="10" t="s">
        <v>2</v>
      </c>
      <c r="W2" s="10" t="s">
        <v>1</v>
      </c>
      <c r="X2" s="10" t="s">
        <v>18</v>
      </c>
      <c r="Y2" s="30" t="s">
        <v>8</v>
      </c>
      <c r="Z2" s="3" t="s">
        <v>2</v>
      </c>
      <c r="AA2" s="3" t="s">
        <v>1</v>
      </c>
      <c r="AB2" s="3" t="s">
        <v>18</v>
      </c>
      <c r="AC2" s="3" t="s">
        <v>8</v>
      </c>
      <c r="AD2" s="21" t="s">
        <v>13</v>
      </c>
      <c r="AE2" s="21" t="s">
        <v>14</v>
      </c>
      <c r="AF2" s="21" t="s">
        <v>15</v>
      </c>
      <c r="AG2" s="19"/>
      <c r="AK2" t="s">
        <v>16</v>
      </c>
      <c r="AL2" t="s">
        <v>17</v>
      </c>
    </row>
    <row r="3" spans="1:44">
      <c r="A3" s="1">
        <v>2018</v>
      </c>
      <c r="B3" s="1">
        <v>1</v>
      </c>
      <c r="C3" s="58">
        <v>385</v>
      </c>
      <c r="D3" s="26"/>
      <c r="E3" s="58"/>
      <c r="F3" s="58"/>
      <c r="G3" s="26"/>
      <c r="H3" s="61"/>
      <c r="I3" s="65"/>
      <c r="J3" s="46"/>
      <c r="K3" s="44"/>
      <c r="L3" s="48"/>
      <c r="M3" s="44"/>
      <c r="N3" s="44"/>
      <c r="O3" s="44"/>
      <c r="P3" s="46"/>
      <c r="Q3" s="44"/>
      <c r="R3" s="16">
        <f t="shared" ref="R3:R25" si="0">V3+Z3</f>
        <v>40843</v>
      </c>
      <c r="S3" s="16">
        <f t="shared" ref="S3:S25" si="1">W3+AA3</f>
        <v>25067</v>
      </c>
      <c r="T3" s="16">
        <f>SUM(R3:S3)</f>
        <v>65910</v>
      </c>
      <c r="U3" s="16">
        <f t="shared" ref="U3:U27" si="2">T3/C3</f>
        <v>171.19480519480518</v>
      </c>
      <c r="V3" s="11">
        <v>40843</v>
      </c>
      <c r="W3" s="11">
        <v>25067</v>
      </c>
      <c r="X3" s="12">
        <f>SUM(V3:W3)</f>
        <v>65910</v>
      </c>
      <c r="Y3" s="30">
        <f t="shared" ref="Y3:Y27" si="3">X3/C3</f>
        <v>171.19480519480518</v>
      </c>
      <c r="Z3" s="4">
        <v>0</v>
      </c>
      <c r="AA3" s="4">
        <v>0</v>
      </c>
      <c r="AB3" s="5">
        <f>SUM(Z3:AA3)</f>
        <v>0</v>
      </c>
      <c r="AC3" s="18">
        <f t="shared" ref="AC3:AC27" si="4">AB3/C3</f>
        <v>0</v>
      </c>
      <c r="AD3" s="22"/>
      <c r="AE3" s="22"/>
      <c r="AF3" s="22"/>
      <c r="AG3" s="20"/>
      <c r="AJ3">
        <v>201801</v>
      </c>
    </row>
    <row r="4" spans="1:44">
      <c r="A4" s="1">
        <v>2018</v>
      </c>
      <c r="B4" s="1">
        <v>2</v>
      </c>
      <c r="C4" s="58">
        <v>378</v>
      </c>
      <c r="D4" s="26"/>
      <c r="E4" s="58"/>
      <c r="F4" s="58"/>
      <c r="G4" s="26"/>
      <c r="H4" s="61"/>
      <c r="I4" s="65"/>
      <c r="J4" s="46"/>
      <c r="K4" s="44"/>
      <c r="L4" s="48"/>
      <c r="M4" s="44"/>
      <c r="N4" s="44"/>
      <c r="O4" s="44"/>
      <c r="P4" s="46"/>
      <c r="Q4" s="44"/>
      <c r="R4" s="16">
        <f t="shared" si="0"/>
        <v>39434</v>
      </c>
      <c r="S4" s="16">
        <f t="shared" si="1"/>
        <v>87513</v>
      </c>
      <c r="T4" s="16">
        <f t="shared" ref="T4:T22" si="5">SUM(R4:S4)</f>
        <v>126947</v>
      </c>
      <c r="U4" s="16">
        <f t="shared" si="2"/>
        <v>335.83862433862436</v>
      </c>
      <c r="V4" s="11">
        <v>39434</v>
      </c>
      <c r="W4" s="11">
        <v>87513</v>
      </c>
      <c r="X4" s="12">
        <f t="shared" ref="X4:X22" si="6">SUM(V4:W4)</f>
        <v>126947</v>
      </c>
      <c r="Y4" s="30">
        <f t="shared" si="3"/>
        <v>335.83862433862436</v>
      </c>
      <c r="Z4" s="4">
        <v>0</v>
      </c>
      <c r="AA4" s="4">
        <v>0</v>
      </c>
      <c r="AB4" s="5">
        <f t="shared" ref="AB4:AB22" si="7">SUM(Z4:AA4)</f>
        <v>0</v>
      </c>
      <c r="AC4" s="18">
        <f t="shared" si="4"/>
        <v>0</v>
      </c>
      <c r="AD4" s="22"/>
      <c r="AE4" s="22"/>
      <c r="AF4" s="22"/>
      <c r="AG4" s="20"/>
      <c r="AJ4">
        <v>201802</v>
      </c>
    </row>
    <row r="5" spans="1:44">
      <c r="A5" s="1">
        <v>2018</v>
      </c>
      <c r="B5" s="1">
        <v>3</v>
      </c>
      <c r="C5" s="58">
        <v>363</v>
      </c>
      <c r="D5" s="26"/>
      <c r="E5" s="58"/>
      <c r="F5" s="58"/>
      <c r="G5" s="26"/>
      <c r="H5" s="61"/>
      <c r="I5" s="65"/>
      <c r="J5" s="46"/>
      <c r="K5" s="44"/>
      <c r="L5" s="48"/>
      <c r="M5" s="44"/>
      <c r="N5" s="44"/>
      <c r="O5" s="44"/>
      <c r="P5" s="46"/>
      <c r="Q5" s="44"/>
      <c r="R5" s="16">
        <f t="shared" si="0"/>
        <v>172807</v>
      </c>
      <c r="S5" s="16">
        <f t="shared" si="1"/>
        <v>103953</v>
      </c>
      <c r="T5" s="16">
        <f t="shared" si="5"/>
        <v>276760</v>
      </c>
      <c r="U5" s="16">
        <f t="shared" si="2"/>
        <v>762.42424242424238</v>
      </c>
      <c r="V5" s="11">
        <v>172807</v>
      </c>
      <c r="W5" s="11">
        <v>103953</v>
      </c>
      <c r="X5" s="12">
        <f t="shared" si="6"/>
        <v>276760</v>
      </c>
      <c r="Y5" s="30">
        <f t="shared" si="3"/>
        <v>762.42424242424238</v>
      </c>
      <c r="Z5" s="4">
        <v>0</v>
      </c>
      <c r="AA5" s="4">
        <v>0</v>
      </c>
      <c r="AB5" s="5">
        <f t="shared" si="7"/>
        <v>0</v>
      </c>
      <c r="AC5" s="18">
        <f t="shared" si="4"/>
        <v>0</v>
      </c>
      <c r="AD5" s="22"/>
      <c r="AE5" s="22"/>
      <c r="AF5" s="22"/>
      <c r="AG5" s="20"/>
      <c r="AJ5">
        <v>201803</v>
      </c>
      <c r="AK5" s="7">
        <f t="shared" ref="AK5:AK25" si="8">AVERAGE(C3:C5)</f>
        <v>375.33333333333331</v>
      </c>
    </row>
    <row r="6" spans="1:44">
      <c r="A6" s="1">
        <v>2018</v>
      </c>
      <c r="B6" s="1">
        <v>4</v>
      </c>
      <c r="C6" s="58">
        <v>856</v>
      </c>
      <c r="D6" s="26"/>
      <c r="E6" s="58"/>
      <c r="F6" s="58"/>
      <c r="G6" s="26"/>
      <c r="H6" s="61"/>
      <c r="I6" s="65"/>
      <c r="J6" s="46"/>
      <c r="K6" s="44"/>
      <c r="L6" s="48"/>
      <c r="M6" s="44"/>
      <c r="N6" s="44"/>
      <c r="O6" s="44"/>
      <c r="P6" s="46"/>
      <c r="Q6" s="44"/>
      <c r="R6" s="16">
        <f t="shared" si="0"/>
        <v>407204</v>
      </c>
      <c r="S6" s="16">
        <f t="shared" si="1"/>
        <v>72407</v>
      </c>
      <c r="T6" s="16">
        <f t="shared" si="5"/>
        <v>479611</v>
      </c>
      <c r="U6" s="16">
        <f t="shared" si="2"/>
        <v>560.2932242990654</v>
      </c>
      <c r="V6" s="11">
        <v>407204</v>
      </c>
      <c r="W6" s="11">
        <v>72407</v>
      </c>
      <c r="X6" s="12">
        <f t="shared" si="6"/>
        <v>479611</v>
      </c>
      <c r="Y6" s="30">
        <f t="shared" si="3"/>
        <v>560.2932242990654</v>
      </c>
      <c r="Z6" s="4">
        <v>0</v>
      </c>
      <c r="AA6" s="4">
        <v>0</v>
      </c>
      <c r="AB6" s="5">
        <f t="shared" si="7"/>
        <v>0</v>
      </c>
      <c r="AC6" s="18">
        <f t="shared" si="4"/>
        <v>0</v>
      </c>
      <c r="AD6" s="22"/>
      <c r="AE6" s="22"/>
      <c r="AF6" s="22"/>
      <c r="AG6" s="20"/>
      <c r="AJ6">
        <v>201804</v>
      </c>
      <c r="AK6" s="7">
        <f t="shared" si="8"/>
        <v>532.33333333333337</v>
      </c>
    </row>
    <row r="7" spans="1:44">
      <c r="A7" s="1">
        <v>2018</v>
      </c>
      <c r="B7" s="1">
        <v>5</v>
      </c>
      <c r="C7" s="58">
        <v>634</v>
      </c>
      <c r="D7" s="26"/>
      <c r="E7" s="58"/>
      <c r="F7" s="58"/>
      <c r="G7" s="26"/>
      <c r="H7" s="61"/>
      <c r="I7" s="65"/>
      <c r="J7" s="46"/>
      <c r="K7" s="44"/>
      <c r="L7" s="48"/>
      <c r="M7" s="44"/>
      <c r="N7" s="44"/>
      <c r="O7" s="44"/>
      <c r="P7" s="46"/>
      <c r="Q7" s="44"/>
      <c r="R7" s="16">
        <f t="shared" si="0"/>
        <v>451925</v>
      </c>
      <c r="S7" s="16">
        <f t="shared" si="1"/>
        <v>42061</v>
      </c>
      <c r="T7" s="16">
        <f t="shared" si="5"/>
        <v>493986</v>
      </c>
      <c r="U7" s="16">
        <f t="shared" si="2"/>
        <v>779.15772870662465</v>
      </c>
      <c r="V7" s="11">
        <v>451925</v>
      </c>
      <c r="W7" s="11">
        <v>42061</v>
      </c>
      <c r="X7" s="12">
        <f t="shared" si="6"/>
        <v>493986</v>
      </c>
      <c r="Y7" s="30">
        <f t="shared" si="3"/>
        <v>779.15772870662465</v>
      </c>
      <c r="Z7" s="4">
        <v>0</v>
      </c>
      <c r="AA7" s="4">
        <v>0</v>
      </c>
      <c r="AB7" s="5">
        <f t="shared" si="7"/>
        <v>0</v>
      </c>
      <c r="AC7" s="18">
        <f t="shared" si="4"/>
        <v>0</v>
      </c>
      <c r="AD7" s="22"/>
      <c r="AE7" s="22"/>
      <c r="AF7" s="22"/>
      <c r="AG7" s="20"/>
      <c r="AJ7">
        <v>201805</v>
      </c>
      <c r="AK7" s="7">
        <f t="shared" si="8"/>
        <v>617.66666666666663</v>
      </c>
    </row>
    <row r="8" spans="1:44">
      <c r="A8" s="1">
        <v>2018</v>
      </c>
      <c r="B8" s="1">
        <v>6</v>
      </c>
      <c r="C8" s="58">
        <v>802</v>
      </c>
      <c r="D8" s="26"/>
      <c r="E8" s="58"/>
      <c r="F8" s="58"/>
      <c r="G8" s="26"/>
      <c r="H8" s="61"/>
      <c r="I8" s="65"/>
      <c r="J8" s="46"/>
      <c r="K8" s="44"/>
      <c r="L8" s="48"/>
      <c r="M8" s="44"/>
      <c r="N8" s="44"/>
      <c r="O8" s="44"/>
      <c r="P8" s="46"/>
      <c r="Q8" s="44"/>
      <c r="R8" s="16">
        <f t="shared" si="0"/>
        <v>458579</v>
      </c>
      <c r="S8" s="16">
        <f t="shared" si="1"/>
        <v>123568</v>
      </c>
      <c r="T8" s="16">
        <f t="shared" si="5"/>
        <v>582147</v>
      </c>
      <c r="U8" s="16">
        <f t="shared" si="2"/>
        <v>725.86907730673317</v>
      </c>
      <c r="V8" s="11">
        <v>458579</v>
      </c>
      <c r="W8" s="11">
        <v>123568</v>
      </c>
      <c r="X8" s="12">
        <f t="shared" si="6"/>
        <v>582147</v>
      </c>
      <c r="Y8" s="30">
        <f t="shared" si="3"/>
        <v>725.86907730673317</v>
      </c>
      <c r="Z8" s="4">
        <v>0</v>
      </c>
      <c r="AA8" s="4">
        <v>0</v>
      </c>
      <c r="AB8" s="5">
        <f t="shared" si="7"/>
        <v>0</v>
      </c>
      <c r="AC8" s="18">
        <f t="shared" si="4"/>
        <v>0</v>
      </c>
      <c r="AD8" s="22"/>
      <c r="AE8" s="22"/>
      <c r="AF8" s="22"/>
      <c r="AG8" s="20"/>
      <c r="AJ8">
        <v>201806</v>
      </c>
      <c r="AK8" s="7">
        <f t="shared" si="8"/>
        <v>764</v>
      </c>
      <c r="AL8" s="7">
        <f t="shared" ref="AL8:AL25" si="9">AVERAGE(C3:C8)</f>
        <v>569.66666666666663</v>
      </c>
    </row>
    <row r="9" spans="1:44">
      <c r="A9" s="1">
        <v>2018</v>
      </c>
      <c r="B9" s="1">
        <v>7</v>
      </c>
      <c r="C9" s="58">
        <v>702</v>
      </c>
      <c r="D9" s="26"/>
      <c r="E9" s="58"/>
      <c r="F9" s="58"/>
      <c r="G9" s="26"/>
      <c r="H9" s="61"/>
      <c r="I9" s="65"/>
      <c r="J9" s="46"/>
      <c r="K9" s="44"/>
      <c r="L9" s="48"/>
      <c r="M9" s="44"/>
      <c r="N9" s="44"/>
      <c r="O9" s="44"/>
      <c r="P9" s="46"/>
      <c r="Q9" s="44"/>
      <c r="R9" s="16">
        <f t="shared" si="0"/>
        <v>229952</v>
      </c>
      <c r="S9" s="16">
        <f t="shared" si="1"/>
        <v>110693</v>
      </c>
      <c r="T9" s="16">
        <f t="shared" si="5"/>
        <v>340645</v>
      </c>
      <c r="U9" s="16">
        <f t="shared" si="2"/>
        <v>485.24928774928776</v>
      </c>
      <c r="V9" s="11">
        <v>229952</v>
      </c>
      <c r="W9" s="11">
        <v>110693</v>
      </c>
      <c r="X9" s="12">
        <f t="shared" si="6"/>
        <v>340645</v>
      </c>
      <c r="Y9" s="30">
        <f t="shared" si="3"/>
        <v>485.24928774928776</v>
      </c>
      <c r="Z9" s="4">
        <v>0</v>
      </c>
      <c r="AA9" s="4">
        <v>0</v>
      </c>
      <c r="AB9" s="5">
        <f t="shared" si="7"/>
        <v>0</v>
      </c>
      <c r="AC9" s="18">
        <f t="shared" si="4"/>
        <v>0</v>
      </c>
      <c r="AD9" s="22"/>
      <c r="AE9" s="22"/>
      <c r="AF9" s="22"/>
      <c r="AG9" s="20"/>
      <c r="AJ9">
        <v>201807</v>
      </c>
      <c r="AK9" s="7">
        <f t="shared" si="8"/>
        <v>712.66666666666663</v>
      </c>
      <c r="AL9" s="7">
        <f t="shared" si="9"/>
        <v>622.5</v>
      </c>
    </row>
    <row r="10" spans="1:44">
      <c r="A10" s="1">
        <v>2018</v>
      </c>
      <c r="B10" s="1">
        <v>8</v>
      </c>
      <c r="C10" s="58">
        <v>484</v>
      </c>
      <c r="D10" s="26"/>
      <c r="E10" s="58"/>
      <c r="F10" s="58"/>
      <c r="G10" s="26"/>
      <c r="H10" s="61"/>
      <c r="I10" s="65"/>
      <c r="J10" s="46"/>
      <c r="K10" s="44"/>
      <c r="L10" s="48"/>
      <c r="M10" s="44"/>
      <c r="N10" s="44"/>
      <c r="O10" s="44"/>
      <c r="P10" s="46"/>
      <c r="Q10" s="44"/>
      <c r="R10" s="16">
        <f t="shared" si="0"/>
        <v>87187</v>
      </c>
      <c r="S10" s="16">
        <f t="shared" si="1"/>
        <v>36989</v>
      </c>
      <c r="T10" s="16">
        <f t="shared" si="5"/>
        <v>124176</v>
      </c>
      <c r="U10" s="16">
        <f t="shared" si="2"/>
        <v>256.56198347107437</v>
      </c>
      <c r="V10" s="11">
        <v>87187</v>
      </c>
      <c r="W10" s="11">
        <v>36989</v>
      </c>
      <c r="X10" s="12">
        <f t="shared" si="6"/>
        <v>124176</v>
      </c>
      <c r="Y10" s="30">
        <f t="shared" si="3"/>
        <v>256.56198347107437</v>
      </c>
      <c r="Z10" s="4">
        <v>0</v>
      </c>
      <c r="AA10" s="4">
        <v>0</v>
      </c>
      <c r="AB10" s="5">
        <f t="shared" si="7"/>
        <v>0</v>
      </c>
      <c r="AC10" s="18">
        <f t="shared" si="4"/>
        <v>0</v>
      </c>
      <c r="AD10" s="22"/>
      <c r="AE10" s="22"/>
      <c r="AF10" s="22"/>
      <c r="AG10" s="20"/>
      <c r="AJ10">
        <v>201808</v>
      </c>
      <c r="AK10" s="7">
        <f t="shared" si="8"/>
        <v>662.66666666666663</v>
      </c>
      <c r="AL10" s="7">
        <f t="shared" si="9"/>
        <v>640.16666666666663</v>
      </c>
    </row>
    <row r="11" spans="1:44">
      <c r="A11" s="1">
        <v>2018</v>
      </c>
      <c r="B11" s="1">
        <v>9</v>
      </c>
      <c r="C11" s="58">
        <v>492</v>
      </c>
      <c r="D11" s="26"/>
      <c r="E11" s="58"/>
      <c r="F11" s="58"/>
      <c r="G11" s="26"/>
      <c r="H11" s="61"/>
      <c r="I11" s="65"/>
      <c r="J11" s="46"/>
      <c r="K11" s="44"/>
      <c r="L11" s="48"/>
      <c r="M11" s="44"/>
      <c r="N11" s="44"/>
      <c r="O11" s="44"/>
      <c r="P11" s="46"/>
      <c r="Q11" s="44"/>
      <c r="R11" s="16">
        <f t="shared" si="0"/>
        <v>170925</v>
      </c>
      <c r="S11" s="16">
        <f t="shared" si="1"/>
        <v>88884</v>
      </c>
      <c r="T11" s="16">
        <f t="shared" si="5"/>
        <v>259809</v>
      </c>
      <c r="U11" s="16">
        <f t="shared" si="2"/>
        <v>528.06707317073176</v>
      </c>
      <c r="V11" s="11">
        <v>170925</v>
      </c>
      <c r="W11" s="11">
        <v>88884</v>
      </c>
      <c r="X11" s="12">
        <f t="shared" si="6"/>
        <v>259809</v>
      </c>
      <c r="Y11" s="30">
        <f t="shared" si="3"/>
        <v>528.06707317073176</v>
      </c>
      <c r="Z11" s="4">
        <v>0</v>
      </c>
      <c r="AA11" s="4">
        <v>0</v>
      </c>
      <c r="AB11" s="5">
        <f t="shared" si="7"/>
        <v>0</v>
      </c>
      <c r="AC11" s="18">
        <f t="shared" si="4"/>
        <v>0</v>
      </c>
      <c r="AD11" s="22"/>
      <c r="AE11" s="22"/>
      <c r="AF11" s="22"/>
      <c r="AG11" s="20"/>
      <c r="AI11" s="6"/>
      <c r="AJ11">
        <v>201809</v>
      </c>
      <c r="AK11" s="7">
        <f t="shared" si="8"/>
        <v>559.33333333333337</v>
      </c>
      <c r="AL11" s="7">
        <f t="shared" si="9"/>
        <v>661.66666666666663</v>
      </c>
      <c r="AM11" s="6"/>
      <c r="AN11" s="6"/>
      <c r="AO11" s="6"/>
      <c r="AP11" s="6"/>
      <c r="AQ11" s="6"/>
      <c r="AR11" s="6"/>
    </row>
    <row r="12" spans="1:44">
      <c r="A12" s="1">
        <v>2018</v>
      </c>
      <c r="B12" s="1">
        <v>10</v>
      </c>
      <c r="C12" s="58">
        <v>549</v>
      </c>
      <c r="D12" s="26"/>
      <c r="E12" s="58"/>
      <c r="F12" s="58"/>
      <c r="G12" s="26"/>
      <c r="H12" s="61"/>
      <c r="I12" s="65"/>
      <c r="J12" s="46"/>
      <c r="K12" s="44"/>
      <c r="L12" s="48"/>
      <c r="M12" s="44"/>
      <c r="N12" s="44"/>
      <c r="O12" s="44"/>
      <c r="P12" s="46"/>
      <c r="Q12" s="44"/>
      <c r="R12" s="16">
        <f t="shared" si="0"/>
        <v>333108</v>
      </c>
      <c r="S12" s="16">
        <f t="shared" si="1"/>
        <v>272308</v>
      </c>
      <c r="T12" s="16">
        <f t="shared" si="5"/>
        <v>605416</v>
      </c>
      <c r="U12" s="16">
        <f t="shared" si="2"/>
        <v>1102.7613843351548</v>
      </c>
      <c r="V12" s="11">
        <v>333108</v>
      </c>
      <c r="W12" s="11">
        <v>272308</v>
      </c>
      <c r="X12" s="12">
        <f t="shared" si="6"/>
        <v>605416</v>
      </c>
      <c r="Y12" s="30">
        <f t="shared" si="3"/>
        <v>1102.7613843351548</v>
      </c>
      <c r="Z12" s="4">
        <v>0</v>
      </c>
      <c r="AA12" s="4">
        <v>0</v>
      </c>
      <c r="AB12" s="5">
        <f t="shared" si="7"/>
        <v>0</v>
      </c>
      <c r="AC12" s="18">
        <f t="shared" si="4"/>
        <v>0</v>
      </c>
      <c r="AD12" s="22"/>
      <c r="AE12" s="22"/>
      <c r="AF12" s="22"/>
      <c r="AG12" s="20"/>
      <c r="AI12" s="6"/>
      <c r="AJ12">
        <v>201810</v>
      </c>
      <c r="AK12" s="7">
        <f t="shared" si="8"/>
        <v>508.33333333333331</v>
      </c>
      <c r="AL12" s="7">
        <f t="shared" si="9"/>
        <v>610.5</v>
      </c>
    </row>
    <row r="13" spans="1:44">
      <c r="A13" s="1">
        <v>2018</v>
      </c>
      <c r="B13" s="1">
        <v>11</v>
      </c>
      <c r="C13" s="58">
        <v>579</v>
      </c>
      <c r="D13" s="26"/>
      <c r="E13" s="58"/>
      <c r="F13" s="58"/>
      <c r="G13" s="26"/>
      <c r="H13" s="61"/>
      <c r="I13" s="65"/>
      <c r="J13" s="46"/>
      <c r="K13" s="44"/>
      <c r="L13" s="48"/>
      <c r="M13" s="44"/>
      <c r="N13" s="44"/>
      <c r="O13" s="44"/>
      <c r="P13" s="46"/>
      <c r="Q13" s="44"/>
      <c r="R13" s="16">
        <f t="shared" si="0"/>
        <v>442064</v>
      </c>
      <c r="S13" s="16">
        <f t="shared" si="1"/>
        <v>363840</v>
      </c>
      <c r="T13" s="16">
        <f t="shared" si="5"/>
        <v>805904</v>
      </c>
      <c r="U13" s="16">
        <f t="shared" si="2"/>
        <v>1391.8894645941277</v>
      </c>
      <c r="V13" s="11">
        <v>442064</v>
      </c>
      <c r="W13" s="11">
        <v>363840</v>
      </c>
      <c r="X13" s="12">
        <f t="shared" si="6"/>
        <v>805904</v>
      </c>
      <c r="Y13" s="30">
        <f t="shared" si="3"/>
        <v>1391.8894645941277</v>
      </c>
      <c r="Z13" s="4">
        <v>0</v>
      </c>
      <c r="AA13" s="4">
        <v>0</v>
      </c>
      <c r="AB13" s="5">
        <f t="shared" si="7"/>
        <v>0</v>
      </c>
      <c r="AC13" s="18">
        <f t="shared" si="4"/>
        <v>0</v>
      </c>
      <c r="AD13" s="22"/>
      <c r="AE13" s="22"/>
      <c r="AF13" s="22"/>
      <c r="AG13" s="20"/>
      <c r="AI13" s="6"/>
      <c r="AJ13">
        <v>201811</v>
      </c>
      <c r="AK13" s="7">
        <f t="shared" si="8"/>
        <v>540</v>
      </c>
      <c r="AL13" s="7">
        <f t="shared" si="9"/>
        <v>601.33333333333337</v>
      </c>
    </row>
    <row r="14" spans="1:44">
      <c r="A14" s="1">
        <v>2018</v>
      </c>
      <c r="B14" s="1">
        <v>12</v>
      </c>
      <c r="C14" s="58">
        <v>490</v>
      </c>
      <c r="D14" s="26"/>
      <c r="E14" s="58"/>
      <c r="F14" s="58"/>
      <c r="G14" s="26"/>
      <c r="H14" s="61"/>
      <c r="I14" s="65"/>
      <c r="J14" s="46"/>
      <c r="K14" s="44"/>
      <c r="L14" s="48"/>
      <c r="M14" s="44"/>
      <c r="N14" s="44"/>
      <c r="O14" s="44"/>
      <c r="P14" s="46"/>
      <c r="Q14" s="44"/>
      <c r="R14" s="16">
        <f t="shared" si="0"/>
        <v>248330</v>
      </c>
      <c r="S14" s="16">
        <f t="shared" si="1"/>
        <v>223235</v>
      </c>
      <c r="T14" s="16">
        <f t="shared" si="5"/>
        <v>471565</v>
      </c>
      <c r="U14" s="16">
        <f t="shared" si="2"/>
        <v>962.37755102040819</v>
      </c>
      <c r="V14" s="11">
        <v>248330</v>
      </c>
      <c r="W14" s="11">
        <v>223235</v>
      </c>
      <c r="X14" s="12">
        <f t="shared" si="6"/>
        <v>471565</v>
      </c>
      <c r="Y14" s="30">
        <f t="shared" si="3"/>
        <v>962.37755102040819</v>
      </c>
      <c r="Z14" s="4">
        <v>0</v>
      </c>
      <c r="AA14" s="4">
        <v>0</v>
      </c>
      <c r="AB14" s="5">
        <f t="shared" si="7"/>
        <v>0</v>
      </c>
      <c r="AC14" s="18">
        <f t="shared" si="4"/>
        <v>0</v>
      </c>
      <c r="AD14" s="23">
        <f t="shared" ref="AD14:AD25" si="10">SUM(T3:T14)</f>
        <v>4632876</v>
      </c>
      <c r="AE14" s="25">
        <f t="shared" ref="AE14:AE27" si="11">SUM(C3:C14)</f>
        <v>6714</v>
      </c>
      <c r="AF14" s="23">
        <f t="shared" ref="AF14:AF24" si="12">AD14/AE14</f>
        <v>690.03217158176949</v>
      </c>
      <c r="AG14" s="20"/>
      <c r="AI14" s="6"/>
      <c r="AJ14">
        <v>201812</v>
      </c>
      <c r="AK14" s="7">
        <f t="shared" si="8"/>
        <v>539.33333333333337</v>
      </c>
      <c r="AL14" s="7">
        <f t="shared" si="9"/>
        <v>549.33333333333337</v>
      </c>
    </row>
    <row r="15" spans="1:44">
      <c r="A15" s="1">
        <v>2019</v>
      </c>
      <c r="B15" s="1">
        <v>1</v>
      </c>
      <c r="C15" s="58">
        <v>485</v>
      </c>
      <c r="D15" s="32">
        <f t="shared" ref="D15:D25" si="13">C15/C3</f>
        <v>1.2597402597402598</v>
      </c>
      <c r="E15" s="58"/>
      <c r="F15" s="58"/>
      <c r="G15" s="26"/>
      <c r="H15" s="61"/>
      <c r="I15" s="65"/>
      <c r="J15" s="46"/>
      <c r="K15" s="44"/>
      <c r="L15" s="48"/>
      <c r="M15" s="44"/>
      <c r="N15" s="44"/>
      <c r="O15" s="44"/>
      <c r="P15" s="46"/>
      <c r="Q15" s="44"/>
      <c r="R15" s="16">
        <f t="shared" si="0"/>
        <v>811378</v>
      </c>
      <c r="S15" s="16">
        <f t="shared" si="1"/>
        <v>346061</v>
      </c>
      <c r="T15" s="16">
        <f t="shared" si="5"/>
        <v>1157439</v>
      </c>
      <c r="U15" s="16">
        <f t="shared" si="2"/>
        <v>2386.4721649484536</v>
      </c>
      <c r="V15" s="11">
        <v>632824</v>
      </c>
      <c r="W15" s="11">
        <v>215413</v>
      </c>
      <c r="X15" s="12">
        <f t="shared" si="6"/>
        <v>848237</v>
      </c>
      <c r="Y15" s="30">
        <f t="shared" si="3"/>
        <v>1748.9422680412372</v>
      </c>
      <c r="Z15" s="4">
        <v>178554</v>
      </c>
      <c r="AA15" s="4">
        <v>130648</v>
      </c>
      <c r="AB15" s="5">
        <f t="shared" si="7"/>
        <v>309202</v>
      </c>
      <c r="AC15" s="18">
        <f t="shared" si="4"/>
        <v>637.52989690721654</v>
      </c>
      <c r="AD15" s="23">
        <f t="shared" si="10"/>
        <v>5724405</v>
      </c>
      <c r="AE15" s="25">
        <f t="shared" si="11"/>
        <v>6814</v>
      </c>
      <c r="AF15" s="23">
        <f t="shared" si="12"/>
        <v>840.09465805694163</v>
      </c>
      <c r="AG15" s="20"/>
      <c r="AI15" s="6"/>
      <c r="AJ15">
        <v>201901</v>
      </c>
      <c r="AK15" s="7">
        <f t="shared" si="8"/>
        <v>518</v>
      </c>
      <c r="AL15" s="7">
        <f t="shared" si="9"/>
        <v>513.16666666666663</v>
      </c>
      <c r="AM15" s="7"/>
      <c r="AN15" s="7"/>
      <c r="AO15" s="7"/>
      <c r="AP15" s="7"/>
      <c r="AQ15" s="7"/>
      <c r="AR15" s="7"/>
    </row>
    <row r="16" spans="1:44">
      <c r="A16" s="1">
        <v>2019</v>
      </c>
      <c r="B16" s="1">
        <v>2</v>
      </c>
      <c r="C16" s="58">
        <v>620</v>
      </c>
      <c r="D16" s="32">
        <f t="shared" si="13"/>
        <v>1.6402116402116402</v>
      </c>
      <c r="E16" s="58"/>
      <c r="F16" s="58"/>
      <c r="G16" s="26"/>
      <c r="H16" s="61"/>
      <c r="I16" s="65"/>
      <c r="J16" s="46"/>
      <c r="K16" s="44"/>
      <c r="L16" s="48"/>
      <c r="M16" s="44"/>
      <c r="N16" s="44"/>
      <c r="O16" s="44"/>
      <c r="P16" s="46"/>
      <c r="Q16" s="44"/>
      <c r="R16" s="16">
        <f t="shared" si="0"/>
        <v>1063154</v>
      </c>
      <c r="S16" s="16">
        <f t="shared" si="1"/>
        <v>623762</v>
      </c>
      <c r="T16" s="16">
        <f t="shared" si="5"/>
        <v>1686916</v>
      </c>
      <c r="U16" s="16">
        <f t="shared" si="2"/>
        <v>2720.8322580645163</v>
      </c>
      <c r="V16" s="11">
        <v>710616</v>
      </c>
      <c r="W16" s="11">
        <v>380336</v>
      </c>
      <c r="X16" s="12">
        <f t="shared" si="6"/>
        <v>1090952</v>
      </c>
      <c r="Y16" s="30">
        <f t="shared" si="3"/>
        <v>1759.6</v>
      </c>
      <c r="Z16" s="4">
        <v>352538</v>
      </c>
      <c r="AA16" s="4">
        <v>243426</v>
      </c>
      <c r="AB16" s="5">
        <f t="shared" si="7"/>
        <v>595964</v>
      </c>
      <c r="AC16" s="18">
        <f t="shared" si="4"/>
        <v>961.23225806451615</v>
      </c>
      <c r="AD16" s="23">
        <f t="shared" si="10"/>
        <v>7284374</v>
      </c>
      <c r="AE16" s="25">
        <f t="shared" si="11"/>
        <v>7056</v>
      </c>
      <c r="AF16" s="23">
        <f t="shared" si="12"/>
        <v>1032.3659297052154</v>
      </c>
      <c r="AG16" s="20"/>
      <c r="AJ16">
        <v>201902</v>
      </c>
      <c r="AK16" s="7">
        <f t="shared" si="8"/>
        <v>531.66666666666663</v>
      </c>
      <c r="AL16" s="7">
        <f t="shared" si="9"/>
        <v>535.83333333333337</v>
      </c>
      <c r="AM16" s="7"/>
      <c r="AN16" s="7"/>
      <c r="AO16" s="7"/>
      <c r="AP16" s="7"/>
      <c r="AQ16" s="7"/>
      <c r="AR16" s="7"/>
    </row>
    <row r="17" spans="1:44">
      <c r="A17" s="1">
        <v>2019</v>
      </c>
      <c r="B17" s="1">
        <v>3</v>
      </c>
      <c r="C17" s="58">
        <v>672</v>
      </c>
      <c r="D17" s="32">
        <f t="shared" si="13"/>
        <v>1.8512396694214877</v>
      </c>
      <c r="E17" s="58"/>
      <c r="F17" s="58"/>
      <c r="G17" s="26"/>
      <c r="H17" s="61"/>
      <c r="I17" s="65"/>
      <c r="J17" s="46"/>
      <c r="K17" s="44"/>
      <c r="L17" s="48"/>
      <c r="M17" s="44"/>
      <c r="N17" s="44"/>
      <c r="O17" s="44"/>
      <c r="P17" s="46"/>
      <c r="Q17" s="44"/>
      <c r="R17" s="16">
        <f t="shared" si="0"/>
        <v>1230451</v>
      </c>
      <c r="S17" s="16">
        <f t="shared" si="1"/>
        <v>892252</v>
      </c>
      <c r="T17" s="16">
        <f t="shared" si="5"/>
        <v>2122703</v>
      </c>
      <c r="U17" s="16">
        <f t="shared" si="2"/>
        <v>3158.7842261904761</v>
      </c>
      <c r="V17" s="11">
        <v>766302</v>
      </c>
      <c r="W17" s="11">
        <v>516179</v>
      </c>
      <c r="X17" s="12">
        <f t="shared" si="6"/>
        <v>1282481</v>
      </c>
      <c r="Y17" s="30">
        <f t="shared" si="3"/>
        <v>1908.453869047619</v>
      </c>
      <c r="Z17" s="4">
        <v>464149</v>
      </c>
      <c r="AA17" s="4">
        <v>376073</v>
      </c>
      <c r="AB17" s="5">
        <f t="shared" si="7"/>
        <v>840222</v>
      </c>
      <c r="AC17" s="18">
        <f t="shared" si="4"/>
        <v>1250.3303571428571</v>
      </c>
      <c r="AD17" s="23">
        <f t="shared" si="10"/>
        <v>9130317</v>
      </c>
      <c r="AE17" s="25">
        <f t="shared" si="11"/>
        <v>7365</v>
      </c>
      <c r="AF17" s="23">
        <f t="shared" si="12"/>
        <v>1239.6900203665987</v>
      </c>
      <c r="AG17" s="20"/>
      <c r="AH17" t="s">
        <v>10</v>
      </c>
      <c r="AI17" t="s">
        <v>11</v>
      </c>
      <c r="AJ17">
        <v>201903</v>
      </c>
      <c r="AK17" s="7">
        <f t="shared" si="8"/>
        <v>592.33333333333337</v>
      </c>
      <c r="AL17" s="7">
        <f t="shared" si="9"/>
        <v>565.83333333333337</v>
      </c>
      <c r="AM17" s="8"/>
      <c r="AN17" s="8"/>
      <c r="AO17" s="8"/>
      <c r="AP17" s="8"/>
      <c r="AQ17" s="8"/>
      <c r="AR17" s="8"/>
    </row>
    <row r="18" spans="1:44">
      <c r="A18" s="1">
        <v>2019</v>
      </c>
      <c r="B18" s="1">
        <v>4</v>
      </c>
      <c r="C18" s="27">
        <f>AI18-AH18</f>
        <v>1616</v>
      </c>
      <c r="D18" s="33">
        <f t="shared" si="13"/>
        <v>1.8878504672897196</v>
      </c>
      <c r="E18" s="59">
        <v>1112</v>
      </c>
      <c r="F18" s="51">
        <v>7950</v>
      </c>
      <c r="G18" s="45">
        <f>F18/E18*1000</f>
        <v>7149.2805755395684</v>
      </c>
      <c r="H18" s="62">
        <f t="shared" ref="H18:H26" si="14">T18/(F18*1000)</f>
        <v>0.19326955974842766</v>
      </c>
      <c r="I18" s="66">
        <v>7149.2805755395684</v>
      </c>
      <c r="J18" s="47">
        <v>160</v>
      </c>
      <c r="K18" s="45">
        <f>I18-J18</f>
        <v>6989.2805755395684</v>
      </c>
      <c r="L18" s="49">
        <v>1112</v>
      </c>
      <c r="M18" s="45">
        <f>I18*L18</f>
        <v>7950000</v>
      </c>
      <c r="N18" s="45">
        <f>J18*L18</f>
        <v>177920</v>
      </c>
      <c r="O18" s="45">
        <f>K18*L18</f>
        <v>7772080</v>
      </c>
      <c r="P18" s="47">
        <v>7420000</v>
      </c>
      <c r="Q18" s="45">
        <f>O18-P18</f>
        <v>352080</v>
      </c>
      <c r="R18" s="16">
        <f t="shared" si="0"/>
        <v>965892</v>
      </c>
      <c r="S18" s="16">
        <f t="shared" si="1"/>
        <v>570601</v>
      </c>
      <c r="T18" s="16">
        <f t="shared" si="5"/>
        <v>1536493</v>
      </c>
      <c r="U18" s="16">
        <f t="shared" si="2"/>
        <v>950.80012376237619</v>
      </c>
      <c r="V18" s="11">
        <v>466808</v>
      </c>
      <c r="W18" s="11">
        <v>233085</v>
      </c>
      <c r="X18" s="12">
        <f t="shared" si="6"/>
        <v>699893</v>
      </c>
      <c r="Y18" s="30">
        <f t="shared" si="3"/>
        <v>433.10210396039605</v>
      </c>
      <c r="Z18" s="4">
        <v>499084</v>
      </c>
      <c r="AA18" s="4">
        <v>337516</v>
      </c>
      <c r="AB18" s="5">
        <f t="shared" si="7"/>
        <v>836600</v>
      </c>
      <c r="AC18" s="18">
        <f t="shared" si="4"/>
        <v>517.69801980198019</v>
      </c>
      <c r="AD18" s="23">
        <f t="shared" si="10"/>
        <v>10187199</v>
      </c>
      <c r="AE18" s="25">
        <f t="shared" si="11"/>
        <v>8125</v>
      </c>
      <c r="AF18" s="23">
        <f t="shared" si="12"/>
        <v>1253.8091076923076</v>
      </c>
      <c r="AG18" s="20" t="s">
        <v>9</v>
      </c>
      <c r="AH18">
        <v>461</v>
      </c>
      <c r="AI18">
        <v>2077</v>
      </c>
      <c r="AJ18">
        <v>201904</v>
      </c>
      <c r="AK18" s="7">
        <f t="shared" si="8"/>
        <v>969.33333333333337</v>
      </c>
      <c r="AL18" s="7">
        <f t="shared" si="9"/>
        <v>743.66666666666663</v>
      </c>
      <c r="AM18" s="9"/>
      <c r="AN18" s="9"/>
      <c r="AO18" s="9"/>
      <c r="AP18" s="9"/>
      <c r="AQ18" s="9"/>
    </row>
    <row r="19" spans="1:44">
      <c r="A19" s="1">
        <v>2019</v>
      </c>
      <c r="B19" s="1">
        <v>5</v>
      </c>
      <c r="C19" s="58">
        <v>734</v>
      </c>
      <c r="D19" s="34">
        <f t="shared" si="13"/>
        <v>1.1577287066246056</v>
      </c>
      <c r="E19" s="59">
        <v>797</v>
      </c>
      <c r="F19" s="51">
        <v>5936</v>
      </c>
      <c r="G19" s="45">
        <f t="shared" ref="G19:G26" si="15">F19/E19*1000</f>
        <v>7447.9297365119201</v>
      </c>
      <c r="H19" s="62">
        <f t="shared" si="14"/>
        <v>0.18338106469002696</v>
      </c>
      <c r="I19" s="66">
        <v>7447.9297365119201</v>
      </c>
      <c r="J19" s="47">
        <v>160</v>
      </c>
      <c r="K19" s="45">
        <f t="shared" ref="K19:K26" si="16">I19-J19</f>
        <v>7287.9297365119201</v>
      </c>
      <c r="L19" s="49">
        <v>797</v>
      </c>
      <c r="M19" s="45">
        <f t="shared" ref="M19:M26" si="17">I19*L19</f>
        <v>5936000</v>
      </c>
      <c r="N19" s="45">
        <f t="shared" ref="N19:N26" si="18">J19*L19</f>
        <v>127520</v>
      </c>
      <c r="O19" s="45">
        <f t="shared" ref="O19:O26" si="19">K19*L19</f>
        <v>5808480</v>
      </c>
      <c r="P19" s="47">
        <v>7420000</v>
      </c>
      <c r="Q19" s="45">
        <f t="shared" ref="Q19:Q26" si="20">O19-P19</f>
        <v>-1611520</v>
      </c>
      <c r="R19" s="16">
        <f t="shared" si="0"/>
        <v>651284</v>
      </c>
      <c r="S19" s="16">
        <f t="shared" si="1"/>
        <v>437266</v>
      </c>
      <c r="T19" s="16">
        <f t="shared" si="5"/>
        <v>1088550</v>
      </c>
      <c r="U19" s="16">
        <f t="shared" si="2"/>
        <v>1483.0381471389646</v>
      </c>
      <c r="V19" s="11">
        <v>0</v>
      </c>
      <c r="W19" s="11">
        <v>0</v>
      </c>
      <c r="X19" s="12">
        <f t="shared" si="6"/>
        <v>0</v>
      </c>
      <c r="Y19" s="30">
        <f t="shared" si="3"/>
        <v>0</v>
      </c>
      <c r="Z19" s="4">
        <v>651284</v>
      </c>
      <c r="AA19" s="4">
        <v>437266</v>
      </c>
      <c r="AB19" s="5">
        <f t="shared" si="7"/>
        <v>1088550</v>
      </c>
      <c r="AC19" s="18">
        <f t="shared" si="4"/>
        <v>1483.0381471389646</v>
      </c>
      <c r="AD19" s="23">
        <f t="shared" si="10"/>
        <v>10781763</v>
      </c>
      <c r="AE19" s="25">
        <f t="shared" si="11"/>
        <v>8225</v>
      </c>
      <c r="AF19" s="23">
        <f t="shared" si="12"/>
        <v>1310.8526443768997</v>
      </c>
      <c r="AG19" s="20"/>
      <c r="AJ19">
        <v>201905</v>
      </c>
      <c r="AK19" s="7">
        <f t="shared" si="8"/>
        <v>1007.3333333333334</v>
      </c>
      <c r="AL19" s="7">
        <f t="shared" si="9"/>
        <v>769.5</v>
      </c>
    </row>
    <row r="20" spans="1:44">
      <c r="A20" s="1">
        <v>2019</v>
      </c>
      <c r="B20" s="1">
        <v>6</v>
      </c>
      <c r="C20" s="58">
        <v>941</v>
      </c>
      <c r="D20" s="34">
        <f t="shared" si="13"/>
        <v>1.1733167082294265</v>
      </c>
      <c r="E20" s="59">
        <v>955</v>
      </c>
      <c r="F20" s="51">
        <v>6939</v>
      </c>
      <c r="G20" s="45">
        <f t="shared" si="15"/>
        <v>7265.9685863874347</v>
      </c>
      <c r="H20" s="62">
        <f t="shared" si="14"/>
        <v>0.13953235336503819</v>
      </c>
      <c r="I20" s="66">
        <v>7265.9685863874347</v>
      </c>
      <c r="J20" s="47">
        <v>160</v>
      </c>
      <c r="K20" s="45">
        <f t="shared" si="16"/>
        <v>7105.9685863874347</v>
      </c>
      <c r="L20" s="49">
        <v>955</v>
      </c>
      <c r="M20" s="45">
        <f t="shared" si="17"/>
        <v>6939000</v>
      </c>
      <c r="N20" s="45">
        <f t="shared" si="18"/>
        <v>152800</v>
      </c>
      <c r="O20" s="45">
        <f t="shared" si="19"/>
        <v>6786200</v>
      </c>
      <c r="P20" s="47">
        <v>7420000</v>
      </c>
      <c r="Q20" s="45">
        <f t="shared" si="20"/>
        <v>-633800</v>
      </c>
      <c r="R20" s="16">
        <f t="shared" si="0"/>
        <v>547897</v>
      </c>
      <c r="S20" s="16">
        <f t="shared" si="1"/>
        <v>420318</v>
      </c>
      <c r="T20" s="16">
        <f t="shared" si="5"/>
        <v>968215</v>
      </c>
      <c r="U20" s="16">
        <f t="shared" si="2"/>
        <v>1028.9213602550478</v>
      </c>
      <c r="V20" s="11">
        <v>0</v>
      </c>
      <c r="W20" s="11">
        <v>0</v>
      </c>
      <c r="X20" s="12">
        <f t="shared" si="6"/>
        <v>0</v>
      </c>
      <c r="Y20" s="30">
        <f t="shared" si="3"/>
        <v>0</v>
      </c>
      <c r="Z20" s="4">
        <v>547897</v>
      </c>
      <c r="AA20" s="4">
        <v>420318</v>
      </c>
      <c r="AB20" s="5">
        <f t="shared" si="7"/>
        <v>968215</v>
      </c>
      <c r="AC20" s="18">
        <f t="shared" si="4"/>
        <v>1028.9213602550478</v>
      </c>
      <c r="AD20" s="23">
        <f t="shared" si="10"/>
        <v>11167831</v>
      </c>
      <c r="AE20" s="25">
        <f t="shared" si="11"/>
        <v>8364</v>
      </c>
      <c r="AF20" s="23">
        <f t="shared" si="12"/>
        <v>1335.2260879961741</v>
      </c>
      <c r="AG20" s="20"/>
      <c r="AJ20">
        <v>201906</v>
      </c>
      <c r="AK20" s="7">
        <f t="shared" si="8"/>
        <v>1097</v>
      </c>
      <c r="AL20" s="7">
        <f t="shared" si="9"/>
        <v>844.66666666666663</v>
      </c>
    </row>
    <row r="21" spans="1:44">
      <c r="A21" s="1">
        <v>2019</v>
      </c>
      <c r="B21" s="1">
        <v>7</v>
      </c>
      <c r="C21" s="58">
        <v>1125</v>
      </c>
      <c r="D21" s="34">
        <f t="shared" si="13"/>
        <v>1.6025641025641026</v>
      </c>
      <c r="E21" s="59">
        <v>1127</v>
      </c>
      <c r="F21" s="51">
        <v>8239</v>
      </c>
      <c r="G21" s="45">
        <f t="shared" si="15"/>
        <v>7310.5590062111805</v>
      </c>
      <c r="H21" s="62">
        <f t="shared" si="14"/>
        <v>0.1158589634664401</v>
      </c>
      <c r="I21" s="66">
        <v>7310.5590062111805</v>
      </c>
      <c r="J21" s="47">
        <v>160</v>
      </c>
      <c r="K21" s="45">
        <f t="shared" si="16"/>
        <v>7150.5590062111805</v>
      </c>
      <c r="L21" s="49">
        <v>1127</v>
      </c>
      <c r="M21" s="45">
        <f t="shared" si="17"/>
        <v>8239000</v>
      </c>
      <c r="N21" s="45">
        <f t="shared" si="18"/>
        <v>180320</v>
      </c>
      <c r="O21" s="45">
        <f t="shared" si="19"/>
        <v>8058680</v>
      </c>
      <c r="P21" s="47">
        <v>7420000</v>
      </c>
      <c r="Q21" s="45">
        <f t="shared" si="20"/>
        <v>638680</v>
      </c>
      <c r="R21" s="16">
        <f t="shared" si="0"/>
        <v>507884</v>
      </c>
      <c r="S21" s="16">
        <f t="shared" si="1"/>
        <v>446678</v>
      </c>
      <c r="T21" s="16">
        <f t="shared" si="5"/>
        <v>954562</v>
      </c>
      <c r="U21" s="16">
        <f t="shared" si="2"/>
        <v>848.4995555555555</v>
      </c>
      <c r="V21" s="11">
        <v>0</v>
      </c>
      <c r="W21" s="11">
        <v>0</v>
      </c>
      <c r="X21" s="12">
        <f t="shared" si="6"/>
        <v>0</v>
      </c>
      <c r="Y21" s="30">
        <f t="shared" si="3"/>
        <v>0</v>
      </c>
      <c r="Z21" s="4">
        <v>507884</v>
      </c>
      <c r="AA21" s="4">
        <v>446678</v>
      </c>
      <c r="AB21" s="5">
        <f t="shared" si="7"/>
        <v>954562</v>
      </c>
      <c r="AC21" s="18">
        <f t="shared" si="4"/>
        <v>848.4995555555555</v>
      </c>
      <c r="AD21" s="23">
        <f t="shared" si="10"/>
        <v>11781748</v>
      </c>
      <c r="AE21" s="25">
        <f t="shared" si="11"/>
        <v>8787</v>
      </c>
      <c r="AF21" s="23">
        <f t="shared" si="12"/>
        <v>1340.8157505405713</v>
      </c>
      <c r="AG21" s="20"/>
      <c r="AJ21">
        <v>201907</v>
      </c>
      <c r="AK21" s="7">
        <f t="shared" si="8"/>
        <v>933.33333333333337</v>
      </c>
      <c r="AL21" s="7">
        <f t="shared" si="9"/>
        <v>951.33333333333337</v>
      </c>
    </row>
    <row r="22" spans="1:44">
      <c r="A22" s="1">
        <v>2019</v>
      </c>
      <c r="B22" s="1">
        <v>8</v>
      </c>
      <c r="C22" s="58">
        <v>833</v>
      </c>
      <c r="D22" s="34">
        <f t="shared" si="13"/>
        <v>1.7210743801652892</v>
      </c>
      <c r="E22" s="59">
        <v>811</v>
      </c>
      <c r="F22" s="51">
        <v>5842</v>
      </c>
      <c r="G22" s="45">
        <f t="shared" si="15"/>
        <v>7203.4525277435268</v>
      </c>
      <c r="H22" s="62">
        <f t="shared" si="14"/>
        <v>0.18028791509756933</v>
      </c>
      <c r="I22" s="66">
        <v>7203.4525277435268</v>
      </c>
      <c r="J22" s="47">
        <v>160</v>
      </c>
      <c r="K22" s="45">
        <f t="shared" si="16"/>
        <v>7043.4525277435268</v>
      </c>
      <c r="L22" s="49">
        <v>811</v>
      </c>
      <c r="M22" s="45">
        <f t="shared" si="17"/>
        <v>5842000</v>
      </c>
      <c r="N22" s="45">
        <f t="shared" si="18"/>
        <v>129760</v>
      </c>
      <c r="O22" s="45">
        <f t="shared" si="19"/>
        <v>5712240</v>
      </c>
      <c r="P22" s="47">
        <v>7420000</v>
      </c>
      <c r="Q22" s="45">
        <f t="shared" si="20"/>
        <v>-1707760</v>
      </c>
      <c r="R22" s="16">
        <f t="shared" si="0"/>
        <v>628106</v>
      </c>
      <c r="S22" s="16">
        <f t="shared" si="1"/>
        <v>425136</v>
      </c>
      <c r="T22" s="16">
        <f t="shared" si="5"/>
        <v>1053242</v>
      </c>
      <c r="U22" s="16">
        <f t="shared" si="2"/>
        <v>1264.3961584633853</v>
      </c>
      <c r="V22" s="11">
        <v>240348</v>
      </c>
      <c r="W22" s="11">
        <v>308979</v>
      </c>
      <c r="X22" s="12">
        <f t="shared" si="6"/>
        <v>549327</v>
      </c>
      <c r="Y22" s="30">
        <f t="shared" si="3"/>
        <v>659.45618247298921</v>
      </c>
      <c r="Z22" s="4">
        <v>387758</v>
      </c>
      <c r="AA22" s="4">
        <v>116157</v>
      </c>
      <c r="AB22" s="5">
        <f t="shared" si="7"/>
        <v>503915</v>
      </c>
      <c r="AC22" s="18">
        <f t="shared" si="4"/>
        <v>604.93997599039619</v>
      </c>
      <c r="AD22" s="23">
        <f t="shared" si="10"/>
        <v>12710814</v>
      </c>
      <c r="AE22" s="25">
        <f t="shared" si="11"/>
        <v>9136</v>
      </c>
      <c r="AF22" s="23">
        <f t="shared" si="12"/>
        <v>1391.2887478108582</v>
      </c>
      <c r="AG22" s="20"/>
      <c r="AJ22">
        <v>201908</v>
      </c>
      <c r="AK22" s="7">
        <f t="shared" si="8"/>
        <v>966.33333333333337</v>
      </c>
      <c r="AL22" s="7">
        <f t="shared" si="9"/>
        <v>986.83333333333337</v>
      </c>
    </row>
    <row r="23" spans="1:44">
      <c r="A23" s="1">
        <v>2019</v>
      </c>
      <c r="B23" s="1">
        <v>9</v>
      </c>
      <c r="C23" s="58">
        <v>931</v>
      </c>
      <c r="D23" s="34">
        <f t="shared" si="13"/>
        <v>1.8922764227642277</v>
      </c>
      <c r="E23" s="59">
        <v>897</v>
      </c>
      <c r="F23" s="51">
        <v>6777</v>
      </c>
      <c r="G23" s="45">
        <f t="shared" si="15"/>
        <v>7555.1839464882942</v>
      </c>
      <c r="H23" s="62">
        <f t="shared" si="14"/>
        <v>0.18245742954109487</v>
      </c>
      <c r="I23" s="66">
        <v>7555.1839464882942</v>
      </c>
      <c r="J23" s="47">
        <v>160</v>
      </c>
      <c r="K23" s="45">
        <f t="shared" si="16"/>
        <v>7395.1839464882942</v>
      </c>
      <c r="L23" s="49">
        <v>897</v>
      </c>
      <c r="M23" s="45">
        <f t="shared" si="17"/>
        <v>6777000</v>
      </c>
      <c r="N23" s="45">
        <f t="shared" si="18"/>
        <v>143520</v>
      </c>
      <c r="O23" s="45">
        <f t="shared" si="19"/>
        <v>6633480</v>
      </c>
      <c r="P23" s="47">
        <v>7420000</v>
      </c>
      <c r="Q23" s="45">
        <f t="shared" si="20"/>
        <v>-786520</v>
      </c>
      <c r="R23" s="16">
        <f t="shared" si="0"/>
        <v>724918</v>
      </c>
      <c r="S23" s="16">
        <f t="shared" si="1"/>
        <v>511596</v>
      </c>
      <c r="T23" s="16">
        <f>SUM(R23:S23)</f>
        <v>1236514</v>
      </c>
      <c r="U23" s="16">
        <f t="shared" si="2"/>
        <v>1328.1568206229861</v>
      </c>
      <c r="V23" s="11">
        <v>724918</v>
      </c>
      <c r="W23" s="11">
        <v>511596</v>
      </c>
      <c r="X23" s="12">
        <f>SUM(V23:W23)</f>
        <v>1236514</v>
      </c>
      <c r="Y23" s="30">
        <f t="shared" si="3"/>
        <v>1328.1568206229861</v>
      </c>
      <c r="Z23" s="4">
        <v>0</v>
      </c>
      <c r="AA23" s="4">
        <v>0</v>
      </c>
      <c r="AB23" s="5">
        <f>SUM(Z23:AA23)</f>
        <v>0</v>
      </c>
      <c r="AC23" s="18">
        <f t="shared" si="4"/>
        <v>0</v>
      </c>
      <c r="AD23" s="23">
        <f t="shared" si="10"/>
        <v>13687519</v>
      </c>
      <c r="AE23" s="25">
        <f t="shared" si="11"/>
        <v>9575</v>
      </c>
      <c r="AF23" s="23">
        <f t="shared" si="12"/>
        <v>1429.5059007832899</v>
      </c>
      <c r="AG23" s="20"/>
      <c r="AJ23">
        <v>201909</v>
      </c>
      <c r="AK23" s="7">
        <f t="shared" si="8"/>
        <v>963</v>
      </c>
      <c r="AL23" s="7">
        <f t="shared" si="9"/>
        <v>1030</v>
      </c>
    </row>
    <row r="24" spans="1:44">
      <c r="A24" s="1">
        <v>2019</v>
      </c>
      <c r="B24" s="1">
        <v>10</v>
      </c>
      <c r="C24" s="58">
        <v>857</v>
      </c>
      <c r="D24" s="34">
        <f t="shared" si="13"/>
        <v>1.5610200364298725</v>
      </c>
      <c r="E24" s="59">
        <v>796</v>
      </c>
      <c r="F24" s="50">
        <v>7838</v>
      </c>
      <c r="G24" s="45">
        <f t="shared" si="15"/>
        <v>9846.733668341707</v>
      </c>
      <c r="H24" s="62">
        <f t="shared" si="14"/>
        <v>0.12873692268435827</v>
      </c>
      <c r="I24" s="66">
        <v>9846.733668341707</v>
      </c>
      <c r="J24" s="47">
        <v>160</v>
      </c>
      <c r="K24" s="45">
        <f t="shared" si="16"/>
        <v>9686.733668341707</v>
      </c>
      <c r="L24" s="49">
        <v>796</v>
      </c>
      <c r="M24" s="45">
        <f t="shared" si="17"/>
        <v>7837999.9999999991</v>
      </c>
      <c r="N24" s="45">
        <f t="shared" si="18"/>
        <v>127360</v>
      </c>
      <c r="O24" s="45">
        <f t="shared" si="19"/>
        <v>7710639.9999999991</v>
      </c>
      <c r="P24" s="47">
        <v>7420000</v>
      </c>
      <c r="Q24" s="45">
        <f t="shared" si="20"/>
        <v>290639.99999999907</v>
      </c>
      <c r="R24" s="16">
        <f t="shared" si="0"/>
        <v>627303</v>
      </c>
      <c r="S24" s="16">
        <f t="shared" si="1"/>
        <v>381737</v>
      </c>
      <c r="T24" s="16">
        <f>SUM(R24:S24)</f>
        <v>1009040</v>
      </c>
      <c r="U24" s="16">
        <f t="shared" si="2"/>
        <v>1177.409568261377</v>
      </c>
      <c r="V24" s="11">
        <v>627303</v>
      </c>
      <c r="W24" s="11">
        <v>381737</v>
      </c>
      <c r="X24" s="12">
        <f>SUM(V24:W24)</f>
        <v>1009040</v>
      </c>
      <c r="Y24" s="30">
        <f t="shared" si="3"/>
        <v>1177.409568261377</v>
      </c>
      <c r="Z24" s="4">
        <v>0</v>
      </c>
      <c r="AA24" s="4">
        <v>0</v>
      </c>
      <c r="AB24" s="5">
        <f>SUM(Z24:AA24)</f>
        <v>0</v>
      </c>
      <c r="AC24" s="18">
        <f t="shared" si="4"/>
        <v>0</v>
      </c>
      <c r="AD24" s="23">
        <f t="shared" si="10"/>
        <v>14091143</v>
      </c>
      <c r="AE24" s="25">
        <f t="shared" si="11"/>
        <v>9883</v>
      </c>
      <c r="AF24" s="23">
        <f t="shared" si="12"/>
        <v>1425.7961145401193</v>
      </c>
      <c r="AG24" s="20" t="s">
        <v>19</v>
      </c>
      <c r="AJ24">
        <v>201910</v>
      </c>
      <c r="AK24" s="7">
        <f t="shared" si="8"/>
        <v>873.66666666666663</v>
      </c>
      <c r="AL24" s="7">
        <f t="shared" si="9"/>
        <v>903.5</v>
      </c>
    </row>
    <row r="25" spans="1:44">
      <c r="A25" s="1">
        <v>2019</v>
      </c>
      <c r="B25" s="1">
        <v>11</v>
      </c>
      <c r="C25" s="58">
        <v>667</v>
      </c>
      <c r="D25" s="34">
        <f t="shared" si="13"/>
        <v>1.1519861830742659</v>
      </c>
      <c r="E25" s="58">
        <v>629</v>
      </c>
      <c r="F25" s="50">
        <v>6237</v>
      </c>
      <c r="G25" s="45">
        <f t="shared" si="15"/>
        <v>9915.7392686804451</v>
      </c>
      <c r="H25" s="62">
        <f t="shared" si="14"/>
        <v>0.1171715568382235</v>
      </c>
      <c r="I25" s="66">
        <v>9915.7392686804451</v>
      </c>
      <c r="J25" s="47">
        <v>160</v>
      </c>
      <c r="K25" s="45">
        <f t="shared" si="16"/>
        <v>9755.7392686804451</v>
      </c>
      <c r="L25" s="49">
        <v>629</v>
      </c>
      <c r="M25" s="45">
        <f t="shared" si="17"/>
        <v>6237000</v>
      </c>
      <c r="N25" s="45">
        <f t="shared" si="18"/>
        <v>100640</v>
      </c>
      <c r="O25" s="45">
        <f t="shared" si="19"/>
        <v>6136360</v>
      </c>
      <c r="P25" s="47">
        <v>7420000</v>
      </c>
      <c r="Q25" s="45">
        <f t="shared" si="20"/>
        <v>-1283640</v>
      </c>
      <c r="R25" s="16">
        <f t="shared" si="0"/>
        <v>464080</v>
      </c>
      <c r="S25" s="16">
        <f t="shared" si="1"/>
        <v>266719</v>
      </c>
      <c r="T25" s="16">
        <f>SUM(R25:S25)</f>
        <v>730799</v>
      </c>
      <c r="U25" s="16">
        <f t="shared" si="2"/>
        <v>1095.6506746626687</v>
      </c>
      <c r="V25" s="11">
        <v>464080</v>
      </c>
      <c r="W25" s="11">
        <v>266719</v>
      </c>
      <c r="X25" s="12">
        <f>SUM(V25:W25)</f>
        <v>730799</v>
      </c>
      <c r="Y25" s="30">
        <f t="shared" si="3"/>
        <v>1095.6506746626687</v>
      </c>
      <c r="Z25" s="4">
        <v>0</v>
      </c>
      <c r="AA25" s="4">
        <v>0</v>
      </c>
      <c r="AB25" s="5">
        <f>SUM(Z25:AA25)</f>
        <v>0</v>
      </c>
      <c r="AC25" s="18">
        <f t="shared" si="4"/>
        <v>0</v>
      </c>
      <c r="AD25" s="23">
        <f t="shared" si="10"/>
        <v>14016038</v>
      </c>
      <c r="AE25" s="25">
        <f t="shared" si="11"/>
        <v>9971</v>
      </c>
      <c r="AF25" s="23">
        <f t="shared" ref="AF25" si="21">AD25/AE25</f>
        <v>1405.6802727910942</v>
      </c>
      <c r="AG25" s="20" t="s">
        <v>21</v>
      </c>
      <c r="AJ25">
        <v>201911</v>
      </c>
      <c r="AK25" s="7">
        <f t="shared" si="8"/>
        <v>818.33333333333337</v>
      </c>
      <c r="AL25" s="7">
        <f t="shared" si="9"/>
        <v>892.33333333333337</v>
      </c>
    </row>
    <row r="26" spans="1:44">
      <c r="A26" s="1">
        <v>2019</v>
      </c>
      <c r="B26" s="1">
        <v>12</v>
      </c>
      <c r="C26" s="58">
        <v>258</v>
      </c>
      <c r="D26" s="34">
        <f t="shared" ref="D26" si="22">C26/C14</f>
        <v>0.52653061224489794</v>
      </c>
      <c r="E26" s="58">
        <v>96</v>
      </c>
      <c r="F26" s="50">
        <v>950</v>
      </c>
      <c r="G26" s="45">
        <f t="shared" si="15"/>
        <v>9895.8333333333339</v>
      </c>
      <c r="H26" s="62">
        <f t="shared" si="14"/>
        <v>0.1195757894736842</v>
      </c>
      <c r="I26" s="66">
        <v>9896</v>
      </c>
      <c r="J26" s="47">
        <v>160</v>
      </c>
      <c r="K26" s="45">
        <f t="shared" si="16"/>
        <v>9736</v>
      </c>
      <c r="L26" s="49">
        <v>96</v>
      </c>
      <c r="M26" s="45">
        <f t="shared" si="17"/>
        <v>950016</v>
      </c>
      <c r="N26" s="45">
        <f t="shared" si="18"/>
        <v>15360</v>
      </c>
      <c r="O26" s="45">
        <f t="shared" si="19"/>
        <v>934656</v>
      </c>
      <c r="P26" s="47">
        <v>7420000</v>
      </c>
      <c r="Q26" s="45">
        <f t="shared" si="20"/>
        <v>-6485344</v>
      </c>
      <c r="R26" s="16">
        <f t="shared" ref="R26" si="23">V26+Z26</f>
        <v>86720</v>
      </c>
      <c r="S26" s="16">
        <f t="shared" ref="S26" si="24">W26+AA26</f>
        <v>26877</v>
      </c>
      <c r="T26" s="16">
        <f>SUM(R26:S26)</f>
        <v>113597</v>
      </c>
      <c r="U26" s="16">
        <f t="shared" si="2"/>
        <v>440.29844961240309</v>
      </c>
      <c r="V26" s="11">
        <v>86720</v>
      </c>
      <c r="W26" s="11">
        <v>26877</v>
      </c>
      <c r="X26" s="12">
        <f>SUM(V26:W26)</f>
        <v>113597</v>
      </c>
      <c r="Y26" s="30">
        <f t="shared" si="3"/>
        <v>440.29844961240309</v>
      </c>
      <c r="Z26" s="4">
        <v>0</v>
      </c>
      <c r="AA26" s="4">
        <v>0</v>
      </c>
      <c r="AB26" s="5">
        <f>SUM(Z26:AA26)</f>
        <v>0</v>
      </c>
      <c r="AC26" s="18">
        <f t="shared" si="4"/>
        <v>0</v>
      </c>
      <c r="AD26" s="23">
        <f t="shared" ref="AD26" si="25">SUM(T15:T26)</f>
        <v>13658070</v>
      </c>
      <c r="AE26" s="25">
        <f t="shared" si="11"/>
        <v>9739</v>
      </c>
      <c r="AF26" s="23">
        <f t="shared" ref="AF26" si="26">AD26/AE26</f>
        <v>1402.409898346853</v>
      </c>
      <c r="AG26" s="20" t="s">
        <v>22</v>
      </c>
    </row>
    <row r="27" spans="1:44">
      <c r="A27" s="1">
        <v>2020</v>
      </c>
      <c r="B27" s="1">
        <v>1</v>
      </c>
      <c r="C27" s="58">
        <v>4</v>
      </c>
      <c r="D27" s="34">
        <f t="shared" ref="D27" si="27">C27/C15</f>
        <v>8.2474226804123713E-3</v>
      </c>
      <c r="E27" s="58"/>
      <c r="F27" s="58"/>
      <c r="G27" s="28"/>
      <c r="H27" s="42"/>
      <c r="I27" s="65"/>
      <c r="J27" s="47"/>
      <c r="K27" s="45"/>
      <c r="L27" s="48"/>
      <c r="M27" s="45"/>
      <c r="N27" s="45"/>
      <c r="O27" s="45"/>
      <c r="P27" s="47"/>
      <c r="Q27" s="45"/>
      <c r="R27" s="43">
        <f t="shared" ref="R27" si="28">V27+Z27</f>
        <v>0</v>
      </c>
      <c r="S27" s="16">
        <f t="shared" ref="S27" si="29">W27+AA27</f>
        <v>0</v>
      </c>
      <c r="T27" s="16">
        <f>SUM(R27:S27)</f>
        <v>0</v>
      </c>
      <c r="U27" s="16">
        <f t="shared" si="2"/>
        <v>0</v>
      </c>
      <c r="V27" s="11">
        <v>0</v>
      </c>
      <c r="W27" s="11">
        <v>0</v>
      </c>
      <c r="X27" s="12">
        <f>SUM(V27:W27)</f>
        <v>0</v>
      </c>
      <c r="Y27" s="30">
        <f t="shared" si="3"/>
        <v>0</v>
      </c>
      <c r="Z27" s="4">
        <v>0</v>
      </c>
      <c r="AA27" s="4">
        <v>0</v>
      </c>
      <c r="AB27" s="5">
        <f>SUM(Z27:AA27)</f>
        <v>0</v>
      </c>
      <c r="AC27" s="18">
        <f t="shared" si="4"/>
        <v>0</v>
      </c>
      <c r="AD27" s="23">
        <f t="shared" ref="AD27" si="30">SUM(T16:T27)</f>
        <v>12500631</v>
      </c>
      <c r="AE27" s="25">
        <f t="shared" si="11"/>
        <v>9258</v>
      </c>
      <c r="AF27" s="23">
        <f t="shared" ref="AF27" si="31">AD27/AE27</f>
        <v>1350.2517822423849</v>
      </c>
      <c r="AG27" s="20"/>
    </row>
  </sheetData>
  <mergeCells count="4">
    <mergeCell ref="V1:Y1"/>
    <mergeCell ref="Z1:AC1"/>
    <mergeCell ref="R1:U1"/>
    <mergeCell ref="AD1:AF1"/>
  </mergeCells>
  <phoneticPr fontId="3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0"/>
  <sheetViews>
    <sheetView tabSelected="1" zoomScaleNormal="100" workbookViewId="0">
      <pane xSplit="2" ySplit="2" topLeftCell="K35" activePane="bottomRight" state="frozen"/>
      <selection pane="topRight" activeCell="C1" sqref="C1"/>
      <selection pane="bottomLeft" activeCell="A3" sqref="A3"/>
      <selection pane="bottomRight" activeCell="R50" sqref="R50"/>
    </sheetView>
  </sheetViews>
  <sheetFormatPr defaultRowHeight="18.75"/>
  <cols>
    <col min="1" max="1" width="5.625" bestFit="1" customWidth="1"/>
    <col min="2" max="2" width="3.625" bestFit="1" customWidth="1"/>
    <col min="3" max="4" width="13.125" customWidth="1"/>
    <col min="5" max="5" width="8.125" style="1" bestFit="1" customWidth="1"/>
    <col min="6" max="6" width="9.625" style="1" bestFit="1" customWidth="1"/>
    <col min="7" max="7" width="12.375" style="1" bestFit="1" customWidth="1"/>
    <col min="8" max="8" width="11.5" style="1" bestFit="1" customWidth="1"/>
    <col min="9" max="9" width="11.625" style="1" bestFit="1" customWidth="1"/>
    <col min="10" max="10" width="9.625" style="1" bestFit="1" customWidth="1"/>
    <col min="11" max="11" width="11.5" style="1" bestFit="1" customWidth="1"/>
    <col min="12" max="12" width="10.625" style="1" bestFit="1" customWidth="1"/>
    <col min="13" max="13" width="12.375" style="1" bestFit="1" customWidth="1"/>
    <col min="14" max="14" width="10.625" style="85" hidden="1" customWidth="1"/>
    <col min="15" max="15" width="10.125" style="85" hidden="1" customWidth="1"/>
    <col min="16" max="16" width="10.375" style="85" hidden="1" customWidth="1"/>
    <col min="17" max="17" width="13.5" style="86" hidden="1" customWidth="1"/>
    <col min="18" max="18" width="10.625" style="85" customWidth="1"/>
    <col min="19" max="19" width="11.75" style="85" bestFit="1" customWidth="1"/>
    <col min="20" max="20" width="11.125" style="85" bestFit="1" customWidth="1"/>
    <col min="21" max="21" width="13.375" style="86" customWidth="1"/>
    <col min="22" max="22" width="10.625" style="85" hidden="1" customWidth="1"/>
    <col min="23" max="23" width="9.875" style="85" hidden="1" customWidth="1"/>
    <col min="24" max="24" width="10.125" style="85" hidden="1" customWidth="1"/>
    <col min="25" max="25" width="13.375" style="85" hidden="1" customWidth="1"/>
    <col min="26" max="28" width="13.375" style="85" customWidth="1"/>
    <col min="29" max="29" width="21" customWidth="1"/>
    <col min="31" max="31" width="27.375" customWidth="1"/>
    <col min="32" max="32" width="16.375" customWidth="1"/>
    <col min="33" max="33" width="10.125" bestFit="1" customWidth="1"/>
    <col min="34" max="38" width="10.125" customWidth="1"/>
    <col min="39" max="39" width="11.5" bestFit="1" customWidth="1"/>
    <col min="40" max="40" width="10.125" customWidth="1"/>
  </cols>
  <sheetData>
    <row r="1" spans="1:40">
      <c r="C1" s="10" t="s">
        <v>50</v>
      </c>
      <c r="E1" s="69" t="s">
        <v>50</v>
      </c>
      <c r="F1" s="76" t="s">
        <v>51</v>
      </c>
      <c r="H1" s="10" t="s">
        <v>50</v>
      </c>
      <c r="L1" s="76" t="s">
        <v>51</v>
      </c>
      <c r="N1" s="113" t="s">
        <v>5</v>
      </c>
      <c r="O1" s="114"/>
      <c r="P1" s="114"/>
      <c r="Q1" s="115"/>
      <c r="R1" s="113" t="s">
        <v>6</v>
      </c>
      <c r="S1" s="114"/>
      <c r="T1" s="114"/>
      <c r="U1" s="115"/>
      <c r="V1" s="113" t="s">
        <v>7</v>
      </c>
      <c r="W1" s="114"/>
      <c r="X1" s="114"/>
      <c r="Y1" s="115"/>
      <c r="Z1" s="116" t="s">
        <v>12</v>
      </c>
      <c r="AA1" s="116"/>
      <c r="AB1" s="116"/>
    </row>
    <row r="2" spans="1:40" ht="56.25">
      <c r="A2" s="1" t="s">
        <v>3</v>
      </c>
      <c r="B2" s="1" t="s">
        <v>0</v>
      </c>
      <c r="C2" s="67" t="s">
        <v>4</v>
      </c>
      <c r="D2" s="2" t="s">
        <v>20</v>
      </c>
      <c r="E2" s="70" t="s">
        <v>29</v>
      </c>
      <c r="F2" s="77" t="s">
        <v>30</v>
      </c>
      <c r="G2" s="56" t="s">
        <v>31</v>
      </c>
      <c r="H2" s="73" t="s">
        <v>32</v>
      </c>
      <c r="I2" s="56" t="s">
        <v>33</v>
      </c>
      <c r="J2" s="56" t="s">
        <v>34</v>
      </c>
      <c r="K2" s="56" t="s">
        <v>35</v>
      </c>
      <c r="L2" s="77" t="s">
        <v>36</v>
      </c>
      <c r="M2" s="56" t="s">
        <v>37</v>
      </c>
      <c r="N2" s="79" t="s">
        <v>2</v>
      </c>
      <c r="O2" s="79" t="s">
        <v>1</v>
      </c>
      <c r="P2" s="79" t="s">
        <v>24</v>
      </c>
      <c r="Q2" s="80" t="s">
        <v>8</v>
      </c>
      <c r="R2" s="79" t="s">
        <v>1</v>
      </c>
      <c r="S2" s="79" t="s">
        <v>2</v>
      </c>
      <c r="T2" s="79" t="s">
        <v>61</v>
      </c>
      <c r="U2" s="80" t="s">
        <v>8</v>
      </c>
      <c r="V2" s="79" t="s">
        <v>2</v>
      </c>
      <c r="W2" s="79" t="s">
        <v>1</v>
      </c>
      <c r="X2" s="79" t="s">
        <v>18</v>
      </c>
      <c r="Y2" s="79" t="s">
        <v>8</v>
      </c>
      <c r="Z2" s="79" t="s">
        <v>13</v>
      </c>
      <c r="AA2" s="79" t="s">
        <v>52</v>
      </c>
      <c r="AB2" s="79" t="s">
        <v>15</v>
      </c>
      <c r="AC2" s="19"/>
      <c r="AG2" t="s">
        <v>16</v>
      </c>
      <c r="AH2" t="s">
        <v>17</v>
      </c>
    </row>
    <row r="3" spans="1:40">
      <c r="A3" s="1">
        <v>2018</v>
      </c>
      <c r="B3" s="1">
        <v>1</v>
      </c>
      <c r="C3" s="68">
        <v>385</v>
      </c>
      <c r="D3" s="26"/>
      <c r="E3" s="71"/>
      <c r="F3" s="78">
        <v>160</v>
      </c>
      <c r="G3" s="44"/>
      <c r="H3" s="74"/>
      <c r="I3" s="44"/>
      <c r="J3" s="44"/>
      <c r="K3" s="44"/>
      <c r="L3" s="78">
        <v>7420000</v>
      </c>
      <c r="M3" s="44"/>
      <c r="N3" s="80">
        <f t="shared" ref="N3:N34" si="0">S3+V3</f>
        <v>40843</v>
      </c>
      <c r="O3" s="80">
        <f t="shared" ref="O3:O34" si="1">R3+W3</f>
        <v>25067</v>
      </c>
      <c r="P3" s="80">
        <f>SUM(N3:O3)</f>
        <v>65910</v>
      </c>
      <c r="Q3" s="80" t="e">
        <f t="shared" ref="Q3:Q17" si="2">P3/H3</f>
        <v>#DIV/0!</v>
      </c>
      <c r="R3" s="81">
        <v>25067</v>
      </c>
      <c r="S3" s="81">
        <v>40843</v>
      </c>
      <c r="T3" s="82">
        <f>SUM(R3:S3)</f>
        <v>65910</v>
      </c>
      <c r="U3" s="80" t="e">
        <f t="shared" ref="U3:U34" si="3">T3/H3</f>
        <v>#DIV/0!</v>
      </c>
      <c r="V3" s="81">
        <v>0</v>
      </c>
      <c r="W3" s="81">
        <v>0</v>
      </c>
      <c r="X3" s="82">
        <f>SUM(V3:W3)</f>
        <v>0</v>
      </c>
      <c r="Y3" s="80" t="e">
        <f>X3/#REF!</f>
        <v>#REF!</v>
      </c>
      <c r="Z3" s="83"/>
      <c r="AA3" s="83"/>
      <c r="AB3" s="83"/>
      <c r="AC3" s="20"/>
      <c r="AF3">
        <v>201801</v>
      </c>
    </row>
    <row r="4" spans="1:40">
      <c r="A4" s="1">
        <v>2018</v>
      </c>
      <c r="B4" s="1">
        <v>2</v>
      </c>
      <c r="C4" s="68">
        <v>378</v>
      </c>
      <c r="D4" s="26"/>
      <c r="E4" s="71"/>
      <c r="F4" s="78">
        <v>160</v>
      </c>
      <c r="G4" s="44"/>
      <c r="H4" s="74"/>
      <c r="I4" s="44"/>
      <c r="J4" s="44"/>
      <c r="K4" s="44"/>
      <c r="L4" s="78">
        <v>7420000</v>
      </c>
      <c r="M4" s="44"/>
      <c r="N4" s="80">
        <f t="shared" si="0"/>
        <v>39434</v>
      </c>
      <c r="O4" s="80">
        <f t="shared" si="1"/>
        <v>87513</v>
      </c>
      <c r="P4" s="80">
        <f t="shared" ref="P4:P22" si="4">SUM(N4:O4)</f>
        <v>126947</v>
      </c>
      <c r="Q4" s="80" t="e">
        <f t="shared" si="2"/>
        <v>#DIV/0!</v>
      </c>
      <c r="R4" s="81">
        <v>87513</v>
      </c>
      <c r="S4" s="81">
        <v>39434</v>
      </c>
      <c r="T4" s="82">
        <f t="shared" ref="T4:T34" si="5">SUM(R4:S4)</f>
        <v>126947</v>
      </c>
      <c r="U4" s="80" t="e">
        <f t="shared" si="3"/>
        <v>#DIV/0!</v>
      </c>
      <c r="V4" s="81">
        <v>0</v>
      </c>
      <c r="W4" s="81">
        <v>0</v>
      </c>
      <c r="X4" s="82">
        <f t="shared" ref="X4:X22" si="6">SUM(V4:W4)</f>
        <v>0</v>
      </c>
      <c r="Y4" s="80" t="e">
        <f>X4/#REF!</f>
        <v>#REF!</v>
      </c>
      <c r="Z4" s="83"/>
      <c r="AA4" s="83"/>
      <c r="AB4" s="83"/>
      <c r="AC4" s="20"/>
      <c r="AF4">
        <v>201802</v>
      </c>
    </row>
    <row r="5" spans="1:40">
      <c r="A5" s="1">
        <v>2018</v>
      </c>
      <c r="B5" s="1">
        <v>3</v>
      </c>
      <c r="C5" s="68">
        <v>363</v>
      </c>
      <c r="D5" s="26"/>
      <c r="E5" s="71"/>
      <c r="F5" s="78">
        <v>160</v>
      </c>
      <c r="G5" s="44"/>
      <c r="H5" s="74"/>
      <c r="I5" s="44"/>
      <c r="J5" s="44"/>
      <c r="K5" s="44"/>
      <c r="L5" s="78">
        <v>7420000</v>
      </c>
      <c r="M5" s="44"/>
      <c r="N5" s="80">
        <f t="shared" si="0"/>
        <v>172807</v>
      </c>
      <c r="O5" s="80">
        <f t="shared" si="1"/>
        <v>103953</v>
      </c>
      <c r="P5" s="80">
        <f t="shared" si="4"/>
        <v>276760</v>
      </c>
      <c r="Q5" s="80" t="e">
        <f t="shared" si="2"/>
        <v>#DIV/0!</v>
      </c>
      <c r="R5" s="81">
        <v>103953</v>
      </c>
      <c r="S5" s="81">
        <v>172807</v>
      </c>
      <c r="T5" s="82">
        <f t="shared" si="5"/>
        <v>276760</v>
      </c>
      <c r="U5" s="80" t="e">
        <f t="shared" si="3"/>
        <v>#DIV/0!</v>
      </c>
      <c r="V5" s="81">
        <v>0</v>
      </c>
      <c r="W5" s="81">
        <v>0</v>
      </c>
      <c r="X5" s="82">
        <f t="shared" si="6"/>
        <v>0</v>
      </c>
      <c r="Y5" s="80" t="e">
        <f>X5/#REF!</f>
        <v>#REF!</v>
      </c>
      <c r="Z5" s="83"/>
      <c r="AA5" s="83"/>
      <c r="AB5" s="83"/>
      <c r="AC5" s="20"/>
      <c r="AF5">
        <v>201803</v>
      </c>
      <c r="AG5" s="7"/>
    </row>
    <row r="6" spans="1:40">
      <c r="A6" s="1">
        <v>2018</v>
      </c>
      <c r="B6" s="1">
        <v>4</v>
      </c>
      <c r="C6" s="68">
        <v>856</v>
      </c>
      <c r="D6" s="26"/>
      <c r="E6" s="71"/>
      <c r="F6" s="78">
        <v>160</v>
      </c>
      <c r="G6" s="44"/>
      <c r="H6" s="74"/>
      <c r="I6" s="44"/>
      <c r="J6" s="44"/>
      <c r="K6" s="44"/>
      <c r="L6" s="78">
        <v>7420000</v>
      </c>
      <c r="M6" s="44"/>
      <c r="N6" s="80">
        <f t="shared" si="0"/>
        <v>407204</v>
      </c>
      <c r="O6" s="80">
        <f t="shared" si="1"/>
        <v>72407</v>
      </c>
      <c r="P6" s="80">
        <f t="shared" si="4"/>
        <v>479611</v>
      </c>
      <c r="Q6" s="80" t="e">
        <f t="shared" si="2"/>
        <v>#DIV/0!</v>
      </c>
      <c r="R6" s="81">
        <v>72407</v>
      </c>
      <c r="S6" s="81">
        <v>407204</v>
      </c>
      <c r="T6" s="82">
        <f t="shared" si="5"/>
        <v>479611</v>
      </c>
      <c r="U6" s="80" t="e">
        <f t="shared" si="3"/>
        <v>#DIV/0!</v>
      </c>
      <c r="V6" s="81">
        <v>0</v>
      </c>
      <c r="W6" s="81">
        <v>0</v>
      </c>
      <c r="X6" s="82">
        <f t="shared" si="6"/>
        <v>0</v>
      </c>
      <c r="Y6" s="80" t="e">
        <f>X6/#REF!</f>
        <v>#REF!</v>
      </c>
      <c r="Z6" s="83"/>
      <c r="AA6" s="83"/>
      <c r="AB6" s="83"/>
      <c r="AC6" s="20"/>
      <c r="AF6">
        <v>201804</v>
      </c>
      <c r="AG6" s="7"/>
    </row>
    <row r="7" spans="1:40">
      <c r="A7" s="1">
        <v>2018</v>
      </c>
      <c r="B7" s="1">
        <v>5</v>
      </c>
      <c r="C7" s="68">
        <v>634</v>
      </c>
      <c r="D7" s="26"/>
      <c r="E7" s="71"/>
      <c r="F7" s="78">
        <v>160</v>
      </c>
      <c r="G7" s="44"/>
      <c r="H7" s="74"/>
      <c r="I7" s="44"/>
      <c r="J7" s="44"/>
      <c r="K7" s="44"/>
      <c r="L7" s="78">
        <v>7420000</v>
      </c>
      <c r="M7" s="44"/>
      <c r="N7" s="80">
        <f t="shared" si="0"/>
        <v>451925</v>
      </c>
      <c r="O7" s="80">
        <f t="shared" si="1"/>
        <v>42061</v>
      </c>
      <c r="P7" s="80">
        <f t="shared" si="4"/>
        <v>493986</v>
      </c>
      <c r="Q7" s="80" t="e">
        <f t="shared" si="2"/>
        <v>#DIV/0!</v>
      </c>
      <c r="R7" s="81">
        <v>42061</v>
      </c>
      <c r="S7" s="81">
        <v>451925</v>
      </c>
      <c r="T7" s="82">
        <f t="shared" si="5"/>
        <v>493986</v>
      </c>
      <c r="U7" s="80" t="e">
        <f t="shared" si="3"/>
        <v>#DIV/0!</v>
      </c>
      <c r="V7" s="81">
        <v>0</v>
      </c>
      <c r="W7" s="81">
        <v>0</v>
      </c>
      <c r="X7" s="82">
        <f t="shared" si="6"/>
        <v>0</v>
      </c>
      <c r="Y7" s="80" t="e">
        <f>X7/#REF!</f>
        <v>#REF!</v>
      </c>
      <c r="Z7" s="83"/>
      <c r="AA7" s="83"/>
      <c r="AB7" s="83"/>
      <c r="AC7" s="20"/>
      <c r="AF7">
        <v>201805</v>
      </c>
      <c r="AG7" s="7"/>
    </row>
    <row r="8" spans="1:40">
      <c r="A8" s="1">
        <v>2018</v>
      </c>
      <c r="B8" s="1">
        <v>6</v>
      </c>
      <c r="C8" s="68">
        <v>802</v>
      </c>
      <c r="D8" s="26"/>
      <c r="E8" s="71"/>
      <c r="F8" s="78">
        <v>160</v>
      </c>
      <c r="G8" s="44"/>
      <c r="H8" s="74">
        <v>642</v>
      </c>
      <c r="I8" s="44"/>
      <c r="J8" s="44"/>
      <c r="K8" s="44"/>
      <c r="L8" s="78">
        <v>7420000</v>
      </c>
      <c r="M8" s="44"/>
      <c r="N8" s="80">
        <f t="shared" si="0"/>
        <v>458579</v>
      </c>
      <c r="O8" s="80">
        <f t="shared" si="1"/>
        <v>123568</v>
      </c>
      <c r="P8" s="80">
        <f t="shared" si="4"/>
        <v>582147</v>
      </c>
      <c r="Q8" s="80">
        <f t="shared" si="2"/>
        <v>906.77102803738319</v>
      </c>
      <c r="R8" s="81">
        <v>123568</v>
      </c>
      <c r="S8" s="81">
        <v>458579</v>
      </c>
      <c r="T8" s="82">
        <f t="shared" si="5"/>
        <v>582147</v>
      </c>
      <c r="U8" s="80">
        <f t="shared" si="3"/>
        <v>906.77102803738319</v>
      </c>
      <c r="V8" s="81">
        <v>0</v>
      </c>
      <c r="W8" s="81">
        <v>0</v>
      </c>
      <c r="X8" s="82">
        <f t="shared" si="6"/>
        <v>0</v>
      </c>
      <c r="Y8" s="80" t="e">
        <f>X8/#REF!</f>
        <v>#REF!</v>
      </c>
      <c r="Z8" s="83"/>
      <c r="AA8" s="83"/>
      <c r="AB8" s="83"/>
      <c r="AC8" s="20"/>
      <c r="AF8">
        <v>201806</v>
      </c>
      <c r="AG8" s="7"/>
      <c r="AH8" s="7"/>
    </row>
    <row r="9" spans="1:40">
      <c r="A9" s="1">
        <v>2018</v>
      </c>
      <c r="B9" s="1">
        <v>7</v>
      </c>
      <c r="C9" s="68">
        <v>702</v>
      </c>
      <c r="D9" s="26"/>
      <c r="E9" s="71"/>
      <c r="F9" s="78">
        <v>160</v>
      </c>
      <c r="G9" s="44"/>
      <c r="H9" s="74">
        <v>651</v>
      </c>
      <c r="I9" s="44"/>
      <c r="J9" s="44"/>
      <c r="K9" s="44"/>
      <c r="L9" s="78">
        <v>7420000</v>
      </c>
      <c r="M9" s="44"/>
      <c r="N9" s="80">
        <f t="shared" si="0"/>
        <v>229952</v>
      </c>
      <c r="O9" s="80">
        <f t="shared" si="1"/>
        <v>110693</v>
      </c>
      <c r="P9" s="80">
        <f t="shared" si="4"/>
        <v>340645</v>
      </c>
      <c r="Q9" s="80">
        <f t="shared" si="2"/>
        <v>523.26420890937015</v>
      </c>
      <c r="R9" s="81">
        <v>110693</v>
      </c>
      <c r="S9" s="81">
        <v>229952</v>
      </c>
      <c r="T9" s="82">
        <f t="shared" si="5"/>
        <v>340645</v>
      </c>
      <c r="U9" s="80">
        <f t="shared" si="3"/>
        <v>523.26420890937015</v>
      </c>
      <c r="V9" s="81">
        <v>0</v>
      </c>
      <c r="W9" s="81">
        <v>0</v>
      </c>
      <c r="X9" s="82">
        <f t="shared" si="6"/>
        <v>0</v>
      </c>
      <c r="Y9" s="80" t="e">
        <f>X9/#REF!</f>
        <v>#REF!</v>
      </c>
      <c r="Z9" s="83"/>
      <c r="AA9" s="83"/>
      <c r="AB9" s="83"/>
      <c r="AC9" s="20"/>
      <c r="AF9">
        <v>201807</v>
      </c>
      <c r="AG9" s="7"/>
      <c r="AH9" s="7"/>
    </row>
    <row r="10" spans="1:40">
      <c r="A10" s="1">
        <v>2018</v>
      </c>
      <c r="B10" s="1">
        <v>8</v>
      </c>
      <c r="C10" s="68">
        <v>484</v>
      </c>
      <c r="D10" s="26"/>
      <c r="E10" s="71"/>
      <c r="F10" s="78">
        <v>160</v>
      </c>
      <c r="G10" s="44"/>
      <c r="H10" s="74">
        <v>469</v>
      </c>
      <c r="I10" s="44"/>
      <c r="J10" s="44"/>
      <c r="K10" s="44"/>
      <c r="L10" s="78">
        <v>7420000</v>
      </c>
      <c r="M10" s="44"/>
      <c r="N10" s="80">
        <f t="shared" si="0"/>
        <v>87187</v>
      </c>
      <c r="O10" s="80">
        <f t="shared" si="1"/>
        <v>36989</v>
      </c>
      <c r="P10" s="80">
        <f t="shared" si="4"/>
        <v>124176</v>
      </c>
      <c r="Q10" s="80">
        <f t="shared" si="2"/>
        <v>264.7675906183369</v>
      </c>
      <c r="R10" s="81">
        <v>36989</v>
      </c>
      <c r="S10" s="81">
        <v>87187</v>
      </c>
      <c r="T10" s="82">
        <f t="shared" si="5"/>
        <v>124176</v>
      </c>
      <c r="U10" s="80">
        <f t="shared" si="3"/>
        <v>264.7675906183369</v>
      </c>
      <c r="V10" s="81">
        <v>0</v>
      </c>
      <c r="W10" s="81">
        <v>0</v>
      </c>
      <c r="X10" s="82">
        <f t="shared" si="6"/>
        <v>0</v>
      </c>
      <c r="Y10" s="80" t="e">
        <f>X10/#REF!</f>
        <v>#REF!</v>
      </c>
      <c r="Z10" s="83"/>
      <c r="AA10" s="83"/>
      <c r="AB10" s="83"/>
      <c r="AC10" s="20"/>
      <c r="AF10">
        <v>201808</v>
      </c>
      <c r="AG10" s="7">
        <f t="shared" ref="AG10:AG32" si="7">AVERAGE(H8:H10)</f>
        <v>587.33333333333337</v>
      </c>
      <c r="AH10" s="7"/>
    </row>
    <row r="11" spans="1:40">
      <c r="A11" s="1">
        <v>2018</v>
      </c>
      <c r="B11" s="1">
        <v>9</v>
      </c>
      <c r="C11" s="68">
        <v>492</v>
      </c>
      <c r="D11" s="26"/>
      <c r="E11" s="71"/>
      <c r="F11" s="78">
        <v>160</v>
      </c>
      <c r="G11" s="44"/>
      <c r="H11" s="74">
        <v>488</v>
      </c>
      <c r="I11" s="44"/>
      <c r="J11" s="44"/>
      <c r="K11" s="44"/>
      <c r="L11" s="78">
        <v>7420000</v>
      </c>
      <c r="M11" s="44"/>
      <c r="N11" s="80">
        <f t="shared" si="0"/>
        <v>170925</v>
      </c>
      <c r="O11" s="80">
        <f t="shared" si="1"/>
        <v>88884</v>
      </c>
      <c r="P11" s="80">
        <f t="shared" si="4"/>
        <v>259809</v>
      </c>
      <c r="Q11" s="80">
        <f t="shared" si="2"/>
        <v>532.39549180327867</v>
      </c>
      <c r="R11" s="81">
        <v>88884</v>
      </c>
      <c r="S11" s="81">
        <v>170925</v>
      </c>
      <c r="T11" s="82">
        <f t="shared" si="5"/>
        <v>259809</v>
      </c>
      <c r="U11" s="80">
        <f t="shared" si="3"/>
        <v>532.39549180327867</v>
      </c>
      <c r="V11" s="81">
        <v>0</v>
      </c>
      <c r="W11" s="81">
        <v>0</v>
      </c>
      <c r="X11" s="82">
        <f t="shared" si="6"/>
        <v>0</v>
      </c>
      <c r="Y11" s="80" t="e">
        <f>X11/#REF!</f>
        <v>#REF!</v>
      </c>
      <c r="Z11" s="83"/>
      <c r="AA11" s="83"/>
      <c r="AB11" s="83"/>
      <c r="AC11" s="20"/>
      <c r="AE11" s="6"/>
      <c r="AF11">
        <v>201809</v>
      </c>
      <c r="AG11" s="7">
        <f t="shared" si="7"/>
        <v>536</v>
      </c>
      <c r="AH11" s="7"/>
      <c r="AI11" s="6"/>
      <c r="AJ11" s="6"/>
      <c r="AK11" s="6"/>
      <c r="AL11" s="6"/>
      <c r="AM11" s="6"/>
      <c r="AN11" s="6"/>
    </row>
    <row r="12" spans="1:40">
      <c r="A12" s="1">
        <v>2018</v>
      </c>
      <c r="B12" s="1">
        <v>10</v>
      </c>
      <c r="C12" s="68">
        <v>549</v>
      </c>
      <c r="D12" s="26"/>
      <c r="E12" s="71"/>
      <c r="F12" s="78">
        <v>160</v>
      </c>
      <c r="G12" s="44"/>
      <c r="H12" s="74">
        <v>570</v>
      </c>
      <c r="I12" s="44"/>
      <c r="J12" s="44"/>
      <c r="K12" s="44"/>
      <c r="L12" s="78">
        <v>7420000</v>
      </c>
      <c r="M12" s="44"/>
      <c r="N12" s="80">
        <f t="shared" si="0"/>
        <v>333108</v>
      </c>
      <c r="O12" s="80">
        <f t="shared" si="1"/>
        <v>272308</v>
      </c>
      <c r="P12" s="80">
        <f t="shared" si="4"/>
        <v>605416</v>
      </c>
      <c r="Q12" s="80">
        <f t="shared" si="2"/>
        <v>1062.1333333333334</v>
      </c>
      <c r="R12" s="81">
        <v>272308</v>
      </c>
      <c r="S12" s="81">
        <v>333108</v>
      </c>
      <c r="T12" s="82">
        <f t="shared" si="5"/>
        <v>605416</v>
      </c>
      <c r="U12" s="80">
        <f t="shared" si="3"/>
        <v>1062.1333333333334</v>
      </c>
      <c r="V12" s="81">
        <v>0</v>
      </c>
      <c r="W12" s="81">
        <v>0</v>
      </c>
      <c r="X12" s="82">
        <f t="shared" si="6"/>
        <v>0</v>
      </c>
      <c r="Y12" s="80" t="e">
        <f>X12/#REF!</f>
        <v>#REF!</v>
      </c>
      <c r="Z12" s="83"/>
      <c r="AA12" s="83"/>
      <c r="AB12" s="83"/>
      <c r="AC12" s="20"/>
      <c r="AE12" s="6"/>
      <c r="AF12">
        <v>201810</v>
      </c>
      <c r="AG12" s="7">
        <f t="shared" si="7"/>
        <v>509</v>
      </c>
      <c r="AH12" s="7"/>
    </row>
    <row r="13" spans="1:40">
      <c r="A13" s="1">
        <v>2018</v>
      </c>
      <c r="B13" s="1">
        <v>11</v>
      </c>
      <c r="C13" s="68">
        <v>579</v>
      </c>
      <c r="D13" s="26"/>
      <c r="E13" s="71"/>
      <c r="F13" s="78">
        <v>160</v>
      </c>
      <c r="G13" s="44"/>
      <c r="H13" s="74">
        <v>554</v>
      </c>
      <c r="I13" s="44"/>
      <c r="J13" s="44"/>
      <c r="K13" s="44"/>
      <c r="L13" s="78">
        <v>7420000</v>
      </c>
      <c r="M13" s="44"/>
      <c r="N13" s="80">
        <f t="shared" si="0"/>
        <v>442064</v>
      </c>
      <c r="O13" s="80">
        <f t="shared" si="1"/>
        <v>363840</v>
      </c>
      <c r="P13" s="80">
        <f t="shared" si="4"/>
        <v>805904</v>
      </c>
      <c r="Q13" s="80">
        <f t="shared" si="2"/>
        <v>1454.7003610108304</v>
      </c>
      <c r="R13" s="81">
        <v>363840</v>
      </c>
      <c r="S13" s="81">
        <v>442064</v>
      </c>
      <c r="T13" s="82">
        <f t="shared" si="5"/>
        <v>805904</v>
      </c>
      <c r="U13" s="80">
        <f t="shared" si="3"/>
        <v>1454.7003610108304</v>
      </c>
      <c r="V13" s="81">
        <v>0</v>
      </c>
      <c r="W13" s="81">
        <v>0</v>
      </c>
      <c r="X13" s="82">
        <f t="shared" si="6"/>
        <v>0</v>
      </c>
      <c r="Y13" s="80" t="e">
        <f>X13/#REF!</f>
        <v>#REF!</v>
      </c>
      <c r="Z13" s="83"/>
      <c r="AA13" s="83"/>
      <c r="AB13" s="83"/>
      <c r="AC13" s="20"/>
      <c r="AE13" s="6"/>
      <c r="AF13">
        <v>201811</v>
      </c>
      <c r="AG13" s="7">
        <f t="shared" si="7"/>
        <v>537.33333333333337</v>
      </c>
      <c r="AH13" s="7">
        <f t="shared" ref="AH13:AH32" si="8">AVERAGE(H8:H13)</f>
        <v>562.33333333333337</v>
      </c>
    </row>
    <row r="14" spans="1:40">
      <c r="A14" s="1">
        <v>2018</v>
      </c>
      <c r="B14" s="1">
        <v>12</v>
      </c>
      <c r="C14" s="68">
        <v>490</v>
      </c>
      <c r="D14" s="26"/>
      <c r="E14" s="71"/>
      <c r="F14" s="78">
        <v>160</v>
      </c>
      <c r="G14" s="44"/>
      <c r="H14" s="74">
        <v>397</v>
      </c>
      <c r="I14" s="44"/>
      <c r="J14" s="44"/>
      <c r="K14" s="44"/>
      <c r="L14" s="78">
        <v>7420000</v>
      </c>
      <c r="M14" s="44"/>
      <c r="N14" s="80">
        <f t="shared" si="0"/>
        <v>248330</v>
      </c>
      <c r="O14" s="80">
        <f t="shared" si="1"/>
        <v>223235</v>
      </c>
      <c r="P14" s="80">
        <f t="shared" si="4"/>
        <v>471565</v>
      </c>
      <c r="Q14" s="80">
        <f t="shared" si="2"/>
        <v>1187.8211586901764</v>
      </c>
      <c r="R14" s="81">
        <v>223235</v>
      </c>
      <c r="S14" s="81">
        <v>248330</v>
      </c>
      <c r="T14" s="82">
        <f t="shared" si="5"/>
        <v>471565</v>
      </c>
      <c r="U14" s="80">
        <f t="shared" si="3"/>
        <v>1187.8211586901764</v>
      </c>
      <c r="V14" s="81">
        <v>0</v>
      </c>
      <c r="W14" s="81">
        <v>0</v>
      </c>
      <c r="X14" s="82">
        <f t="shared" si="6"/>
        <v>0</v>
      </c>
      <c r="Y14" s="80" t="e">
        <f>X14/#REF!</f>
        <v>#REF!</v>
      </c>
      <c r="Z14" s="80">
        <f t="shared" ref="Z14:Z34" si="9">SUM(P3:P14)</f>
        <v>4632876</v>
      </c>
      <c r="AA14" s="28">
        <f t="shared" ref="AA14:AA34" si="10">SUM(H3:H14)</f>
        <v>3771</v>
      </c>
      <c r="AB14" s="80">
        <f t="shared" ref="AB14:AB17" si="11">Z14/AA14</f>
        <v>1228.5536992840096</v>
      </c>
      <c r="AC14" s="20"/>
      <c r="AE14" s="6"/>
      <c r="AF14">
        <v>201812</v>
      </c>
      <c r="AG14" s="7">
        <f t="shared" si="7"/>
        <v>507</v>
      </c>
      <c r="AH14" s="7">
        <f t="shared" si="8"/>
        <v>521.5</v>
      </c>
    </row>
    <row r="15" spans="1:40">
      <c r="A15" s="1">
        <v>2019</v>
      </c>
      <c r="B15" s="1">
        <v>1</v>
      </c>
      <c r="C15" s="68">
        <v>485</v>
      </c>
      <c r="D15" s="32">
        <f t="shared" ref="D15:D27" si="12">C15/C3</f>
        <v>1.2597402597402598</v>
      </c>
      <c r="E15" s="71"/>
      <c r="F15" s="78">
        <v>160</v>
      </c>
      <c r="G15" s="44"/>
      <c r="H15" s="74">
        <v>575</v>
      </c>
      <c r="I15" s="44"/>
      <c r="J15" s="44"/>
      <c r="K15" s="44"/>
      <c r="L15" s="78">
        <v>7420000</v>
      </c>
      <c r="M15" s="44"/>
      <c r="N15" s="80">
        <f t="shared" si="0"/>
        <v>811378</v>
      </c>
      <c r="O15" s="80">
        <f t="shared" si="1"/>
        <v>346061</v>
      </c>
      <c r="P15" s="80">
        <f t="shared" si="4"/>
        <v>1157439</v>
      </c>
      <c r="Q15" s="80">
        <f t="shared" si="2"/>
        <v>2012.9373913043478</v>
      </c>
      <c r="R15" s="81">
        <v>215413</v>
      </c>
      <c r="S15" s="81">
        <v>632824</v>
      </c>
      <c r="T15" s="82">
        <f t="shared" si="5"/>
        <v>848237</v>
      </c>
      <c r="U15" s="80">
        <f t="shared" si="3"/>
        <v>1475.1947826086957</v>
      </c>
      <c r="V15" s="81">
        <v>178554</v>
      </c>
      <c r="W15" s="81">
        <v>130648</v>
      </c>
      <c r="X15" s="82">
        <f t="shared" si="6"/>
        <v>309202</v>
      </c>
      <c r="Y15" s="80" t="e">
        <f>X15/#REF!</f>
        <v>#REF!</v>
      </c>
      <c r="Z15" s="80">
        <f t="shared" si="9"/>
        <v>5724405</v>
      </c>
      <c r="AA15" s="28">
        <f t="shared" si="10"/>
        <v>4346</v>
      </c>
      <c r="AB15" s="80">
        <f t="shared" si="11"/>
        <v>1317.1663598711459</v>
      </c>
      <c r="AC15" s="20"/>
      <c r="AE15" s="6"/>
      <c r="AF15">
        <v>201901</v>
      </c>
      <c r="AG15" s="7">
        <f t="shared" si="7"/>
        <v>508.66666666666669</v>
      </c>
      <c r="AH15" s="7">
        <f t="shared" si="8"/>
        <v>508.83333333333331</v>
      </c>
      <c r="AI15" s="7"/>
      <c r="AJ15" s="7"/>
      <c r="AK15" s="7"/>
      <c r="AL15" s="7"/>
      <c r="AM15" s="7"/>
      <c r="AN15" s="7"/>
    </row>
    <row r="16" spans="1:40">
      <c r="A16" s="1">
        <v>2019</v>
      </c>
      <c r="B16" s="1">
        <v>2</v>
      </c>
      <c r="C16" s="68">
        <v>620</v>
      </c>
      <c r="D16" s="32">
        <f t="shared" si="12"/>
        <v>1.6402116402116402</v>
      </c>
      <c r="E16" s="71"/>
      <c r="F16" s="78">
        <v>160</v>
      </c>
      <c r="G16" s="44"/>
      <c r="H16" s="74">
        <v>590</v>
      </c>
      <c r="I16" s="44"/>
      <c r="J16" s="44"/>
      <c r="K16" s="44"/>
      <c r="L16" s="78">
        <v>7420000</v>
      </c>
      <c r="M16" s="44"/>
      <c r="N16" s="80">
        <f t="shared" si="0"/>
        <v>1063154</v>
      </c>
      <c r="O16" s="80">
        <f t="shared" si="1"/>
        <v>623762</v>
      </c>
      <c r="P16" s="80">
        <f t="shared" si="4"/>
        <v>1686916</v>
      </c>
      <c r="Q16" s="80">
        <f t="shared" si="2"/>
        <v>2859.179661016949</v>
      </c>
      <c r="R16" s="81">
        <v>380336</v>
      </c>
      <c r="S16" s="81">
        <v>710616</v>
      </c>
      <c r="T16" s="82">
        <f t="shared" si="5"/>
        <v>1090952</v>
      </c>
      <c r="U16" s="80">
        <f t="shared" si="3"/>
        <v>1849.071186440678</v>
      </c>
      <c r="V16" s="81">
        <v>352538</v>
      </c>
      <c r="W16" s="81">
        <v>243426</v>
      </c>
      <c r="X16" s="82">
        <f t="shared" si="6"/>
        <v>595964</v>
      </c>
      <c r="Y16" s="80" t="e">
        <f>X16/#REF!</f>
        <v>#REF!</v>
      </c>
      <c r="Z16" s="80">
        <f t="shared" si="9"/>
        <v>7284374</v>
      </c>
      <c r="AA16" s="28">
        <f t="shared" si="10"/>
        <v>4936</v>
      </c>
      <c r="AB16" s="80">
        <f t="shared" si="11"/>
        <v>1475.7645867098865</v>
      </c>
      <c r="AC16" s="20"/>
      <c r="AF16">
        <v>201902</v>
      </c>
      <c r="AG16" s="7">
        <f t="shared" si="7"/>
        <v>520.66666666666663</v>
      </c>
      <c r="AH16" s="7">
        <f t="shared" si="8"/>
        <v>529</v>
      </c>
      <c r="AI16" s="7"/>
      <c r="AJ16" s="7"/>
      <c r="AK16" s="7"/>
      <c r="AL16" s="7"/>
      <c r="AM16" s="7"/>
      <c r="AN16" s="7"/>
    </row>
    <row r="17" spans="1:40">
      <c r="A17" s="1">
        <v>2019</v>
      </c>
      <c r="B17" s="1">
        <v>3</v>
      </c>
      <c r="C17" s="68">
        <v>672</v>
      </c>
      <c r="D17" s="32">
        <f t="shared" si="12"/>
        <v>1.8512396694214877</v>
      </c>
      <c r="E17" s="71"/>
      <c r="F17" s="78">
        <v>160</v>
      </c>
      <c r="G17" s="44"/>
      <c r="H17" s="74">
        <v>1217</v>
      </c>
      <c r="I17" s="44"/>
      <c r="J17" s="44"/>
      <c r="K17" s="44"/>
      <c r="L17" s="78">
        <v>7420000</v>
      </c>
      <c r="M17" s="44"/>
      <c r="N17" s="80">
        <f t="shared" si="0"/>
        <v>1230451</v>
      </c>
      <c r="O17" s="80">
        <f t="shared" si="1"/>
        <v>892252</v>
      </c>
      <c r="P17" s="80">
        <f t="shared" si="4"/>
        <v>2122703</v>
      </c>
      <c r="Q17" s="80">
        <f t="shared" si="2"/>
        <v>1744.2095316351686</v>
      </c>
      <c r="R17" s="81">
        <v>516179</v>
      </c>
      <c r="S17" s="81">
        <v>766302</v>
      </c>
      <c r="T17" s="82">
        <f t="shared" si="5"/>
        <v>1282481</v>
      </c>
      <c r="U17" s="80">
        <f t="shared" si="3"/>
        <v>1053.8052588331964</v>
      </c>
      <c r="V17" s="81">
        <v>464149</v>
      </c>
      <c r="W17" s="81">
        <v>376073</v>
      </c>
      <c r="X17" s="82">
        <f t="shared" si="6"/>
        <v>840222</v>
      </c>
      <c r="Y17" s="80" t="e">
        <f>X17/#REF!</f>
        <v>#REF!</v>
      </c>
      <c r="Z17" s="80">
        <f t="shared" si="9"/>
        <v>9130317</v>
      </c>
      <c r="AA17" s="28">
        <f t="shared" si="10"/>
        <v>6153</v>
      </c>
      <c r="AB17" s="80">
        <f t="shared" si="11"/>
        <v>1483.8805460750852</v>
      </c>
      <c r="AC17" s="20"/>
      <c r="AD17" t="s">
        <v>10</v>
      </c>
      <c r="AE17" t="s">
        <v>11</v>
      </c>
      <c r="AF17">
        <v>201903</v>
      </c>
      <c r="AG17" s="7">
        <f t="shared" si="7"/>
        <v>794</v>
      </c>
      <c r="AH17" s="7">
        <f t="shared" si="8"/>
        <v>650.5</v>
      </c>
      <c r="AI17" s="8"/>
      <c r="AJ17" s="8"/>
      <c r="AK17" s="8"/>
      <c r="AL17" s="8"/>
      <c r="AM17" s="8"/>
      <c r="AN17" s="8"/>
    </row>
    <row r="18" spans="1:40">
      <c r="A18" s="1">
        <v>2019</v>
      </c>
      <c r="B18" s="1">
        <v>4</v>
      </c>
      <c r="C18" s="68">
        <v>1616</v>
      </c>
      <c r="D18" s="34">
        <f t="shared" si="12"/>
        <v>1.8878504672897196</v>
      </c>
      <c r="E18" s="72">
        <v>7149.2805755395684</v>
      </c>
      <c r="F18" s="78">
        <v>160</v>
      </c>
      <c r="G18" s="45">
        <f>E18-F18</f>
        <v>6989.2805755395684</v>
      </c>
      <c r="H18" s="75">
        <v>1112</v>
      </c>
      <c r="I18" s="45">
        <f>E18*H18</f>
        <v>7950000</v>
      </c>
      <c r="J18" s="45">
        <f>F18*H18</f>
        <v>177920</v>
      </c>
      <c r="K18" s="45">
        <f>G18*H18</f>
        <v>7772080</v>
      </c>
      <c r="L18" s="78">
        <v>7420000</v>
      </c>
      <c r="M18" s="45">
        <f>K18-L18</f>
        <v>352080</v>
      </c>
      <c r="N18" s="80">
        <f t="shared" si="0"/>
        <v>965892</v>
      </c>
      <c r="O18" s="80">
        <f t="shared" si="1"/>
        <v>570601</v>
      </c>
      <c r="P18" s="80">
        <f t="shared" si="4"/>
        <v>1536493</v>
      </c>
      <c r="Q18" s="80">
        <f>P18/H18</f>
        <v>1381.7383093525179</v>
      </c>
      <c r="R18" s="81">
        <v>233085</v>
      </c>
      <c r="S18" s="81">
        <v>466808</v>
      </c>
      <c r="T18" s="82">
        <f t="shared" si="5"/>
        <v>699893</v>
      </c>
      <c r="U18" s="80">
        <f t="shared" si="3"/>
        <v>629.40017985611507</v>
      </c>
      <c r="V18" s="81">
        <v>499084</v>
      </c>
      <c r="W18" s="81">
        <v>337516</v>
      </c>
      <c r="X18" s="82">
        <f t="shared" si="6"/>
        <v>836600</v>
      </c>
      <c r="Y18" s="80" t="e">
        <f>X18/#REF!</f>
        <v>#REF!</v>
      </c>
      <c r="Z18" s="80">
        <f t="shared" si="9"/>
        <v>10187199</v>
      </c>
      <c r="AA18" s="28">
        <f t="shared" si="10"/>
        <v>7265</v>
      </c>
      <c r="AB18" s="80">
        <f t="shared" ref="AB18:AB27" si="13">Z18/AA18</f>
        <v>1402.2297315898143</v>
      </c>
      <c r="AC18" s="20" t="s">
        <v>9</v>
      </c>
      <c r="AD18">
        <v>461</v>
      </c>
      <c r="AE18">
        <v>2077</v>
      </c>
      <c r="AF18">
        <v>201904</v>
      </c>
      <c r="AG18" s="7">
        <f t="shared" si="7"/>
        <v>973</v>
      </c>
      <c r="AH18" s="7">
        <f t="shared" si="8"/>
        <v>740.83333333333337</v>
      </c>
      <c r="AI18" s="9"/>
      <c r="AJ18" s="9"/>
      <c r="AK18" s="9"/>
      <c r="AL18" s="9"/>
      <c r="AM18" s="9"/>
    </row>
    <row r="19" spans="1:40">
      <c r="A19" s="1">
        <v>2019</v>
      </c>
      <c r="B19" s="1">
        <v>5</v>
      </c>
      <c r="C19" s="68">
        <v>734</v>
      </c>
      <c r="D19" s="34">
        <f t="shared" si="12"/>
        <v>1.1577287066246056</v>
      </c>
      <c r="E19" s="72">
        <v>7447.9297365119201</v>
      </c>
      <c r="F19" s="78">
        <v>160</v>
      </c>
      <c r="G19" s="45">
        <f t="shared" ref="G19:G27" si="14">E19-F19</f>
        <v>7287.9297365119201</v>
      </c>
      <c r="H19" s="75">
        <v>797</v>
      </c>
      <c r="I19" s="45">
        <f t="shared" ref="I19:I26" si="15">E19*H19</f>
        <v>5936000</v>
      </c>
      <c r="J19" s="45">
        <f t="shared" ref="J19:J26" si="16">F19*H19</f>
        <v>127520</v>
      </c>
      <c r="K19" s="45">
        <f t="shared" ref="K19:K26" si="17">G19*H19</f>
        <v>5808480</v>
      </c>
      <c r="L19" s="78">
        <v>7420000</v>
      </c>
      <c r="M19" s="45">
        <f t="shared" ref="M19:M26" si="18">K19-L19</f>
        <v>-1611520</v>
      </c>
      <c r="N19" s="80">
        <f t="shared" si="0"/>
        <v>651284</v>
      </c>
      <c r="O19" s="80">
        <f t="shared" si="1"/>
        <v>437266</v>
      </c>
      <c r="P19" s="80">
        <f t="shared" si="4"/>
        <v>1088550</v>
      </c>
      <c r="Q19" s="80">
        <f t="shared" ref="Q19:Q27" si="19">P19/H19</f>
        <v>1365.8092848180677</v>
      </c>
      <c r="R19" s="81">
        <v>0</v>
      </c>
      <c r="S19" s="81">
        <v>0</v>
      </c>
      <c r="T19" s="82">
        <f t="shared" si="5"/>
        <v>0</v>
      </c>
      <c r="U19" s="80">
        <f t="shared" si="3"/>
        <v>0</v>
      </c>
      <c r="V19" s="81">
        <v>651284</v>
      </c>
      <c r="W19" s="81">
        <v>437266</v>
      </c>
      <c r="X19" s="82">
        <f t="shared" si="6"/>
        <v>1088550</v>
      </c>
      <c r="Y19" s="80" t="e">
        <f>X19/#REF!</f>
        <v>#REF!</v>
      </c>
      <c r="Z19" s="80">
        <f t="shared" si="9"/>
        <v>10781763</v>
      </c>
      <c r="AA19" s="28">
        <f t="shared" si="10"/>
        <v>8062</v>
      </c>
      <c r="AB19" s="80">
        <f t="shared" si="13"/>
        <v>1337.3558670305135</v>
      </c>
      <c r="AC19" s="20"/>
      <c r="AF19">
        <v>201905</v>
      </c>
      <c r="AG19" s="7">
        <f t="shared" si="7"/>
        <v>1042</v>
      </c>
      <c r="AH19" s="7">
        <f t="shared" si="8"/>
        <v>781.33333333333337</v>
      </c>
    </row>
    <row r="20" spans="1:40">
      <c r="A20" s="1">
        <v>2019</v>
      </c>
      <c r="B20" s="1">
        <v>6</v>
      </c>
      <c r="C20" s="68">
        <v>941</v>
      </c>
      <c r="D20" s="34">
        <f t="shared" si="12"/>
        <v>1.1733167082294265</v>
      </c>
      <c r="E20" s="72">
        <v>7265.9685863874347</v>
      </c>
      <c r="F20" s="78">
        <v>160</v>
      </c>
      <c r="G20" s="45">
        <f t="shared" si="14"/>
        <v>7105.9685863874347</v>
      </c>
      <c r="H20" s="75">
        <v>955</v>
      </c>
      <c r="I20" s="45">
        <f t="shared" si="15"/>
        <v>6939000</v>
      </c>
      <c r="J20" s="45">
        <f t="shared" si="16"/>
        <v>152800</v>
      </c>
      <c r="K20" s="45">
        <f t="shared" si="17"/>
        <v>6786200</v>
      </c>
      <c r="L20" s="78">
        <v>7420000</v>
      </c>
      <c r="M20" s="45">
        <f t="shared" si="18"/>
        <v>-633800</v>
      </c>
      <c r="N20" s="80">
        <f t="shared" si="0"/>
        <v>547897</v>
      </c>
      <c r="O20" s="80">
        <f t="shared" si="1"/>
        <v>420318</v>
      </c>
      <c r="P20" s="80">
        <f t="shared" si="4"/>
        <v>968215</v>
      </c>
      <c r="Q20" s="80">
        <f t="shared" si="19"/>
        <v>1013.8376963350786</v>
      </c>
      <c r="R20" s="81">
        <v>0</v>
      </c>
      <c r="S20" s="81">
        <v>0</v>
      </c>
      <c r="T20" s="82">
        <f t="shared" si="5"/>
        <v>0</v>
      </c>
      <c r="U20" s="80">
        <f t="shared" si="3"/>
        <v>0</v>
      </c>
      <c r="V20" s="81">
        <v>547897</v>
      </c>
      <c r="W20" s="81">
        <v>420318</v>
      </c>
      <c r="X20" s="82">
        <f t="shared" si="6"/>
        <v>968215</v>
      </c>
      <c r="Y20" s="80" t="e">
        <f>X20/#REF!</f>
        <v>#REF!</v>
      </c>
      <c r="Z20" s="80">
        <f t="shared" si="9"/>
        <v>11167831</v>
      </c>
      <c r="AA20" s="28">
        <f t="shared" si="10"/>
        <v>8375</v>
      </c>
      <c r="AB20" s="80">
        <f t="shared" si="13"/>
        <v>1333.4723582089553</v>
      </c>
      <c r="AC20" s="20"/>
      <c r="AF20">
        <v>201906</v>
      </c>
      <c r="AG20" s="7">
        <f t="shared" si="7"/>
        <v>954.66666666666663</v>
      </c>
      <c r="AH20" s="7">
        <f t="shared" si="8"/>
        <v>874.33333333333337</v>
      </c>
    </row>
    <row r="21" spans="1:40">
      <c r="A21" s="1">
        <v>2019</v>
      </c>
      <c r="B21" s="1">
        <v>7</v>
      </c>
      <c r="C21" s="68">
        <v>1125</v>
      </c>
      <c r="D21" s="34">
        <f t="shared" si="12"/>
        <v>1.6025641025641026</v>
      </c>
      <c r="E21" s="72">
        <v>7310.5590062111805</v>
      </c>
      <c r="F21" s="78">
        <v>160</v>
      </c>
      <c r="G21" s="45">
        <f t="shared" si="14"/>
        <v>7150.5590062111805</v>
      </c>
      <c r="H21" s="75">
        <v>1127</v>
      </c>
      <c r="I21" s="45">
        <f t="shared" si="15"/>
        <v>8239000</v>
      </c>
      <c r="J21" s="45">
        <f t="shared" si="16"/>
        <v>180320</v>
      </c>
      <c r="K21" s="45">
        <f t="shared" si="17"/>
        <v>8058680</v>
      </c>
      <c r="L21" s="78">
        <v>7420000</v>
      </c>
      <c r="M21" s="45">
        <f t="shared" si="18"/>
        <v>638680</v>
      </c>
      <c r="N21" s="80">
        <f t="shared" si="0"/>
        <v>507884</v>
      </c>
      <c r="O21" s="80">
        <f t="shared" si="1"/>
        <v>446678</v>
      </c>
      <c r="P21" s="80">
        <f t="shared" si="4"/>
        <v>954562</v>
      </c>
      <c r="Q21" s="80">
        <f t="shared" si="19"/>
        <v>846.99378881987582</v>
      </c>
      <c r="R21" s="81">
        <v>0</v>
      </c>
      <c r="S21" s="81">
        <v>0</v>
      </c>
      <c r="T21" s="82">
        <f t="shared" si="5"/>
        <v>0</v>
      </c>
      <c r="U21" s="80">
        <f t="shared" si="3"/>
        <v>0</v>
      </c>
      <c r="V21" s="81">
        <v>507884</v>
      </c>
      <c r="W21" s="81">
        <v>446678</v>
      </c>
      <c r="X21" s="82">
        <f t="shared" si="6"/>
        <v>954562</v>
      </c>
      <c r="Y21" s="80" t="e">
        <f>X21/#REF!</f>
        <v>#REF!</v>
      </c>
      <c r="Z21" s="80">
        <f t="shared" si="9"/>
        <v>11781748</v>
      </c>
      <c r="AA21" s="28">
        <f t="shared" si="10"/>
        <v>8851</v>
      </c>
      <c r="AB21" s="80">
        <f t="shared" si="13"/>
        <v>1331.12055135013</v>
      </c>
      <c r="AC21" s="20"/>
      <c r="AF21">
        <v>201907</v>
      </c>
      <c r="AG21" s="7">
        <f t="shared" si="7"/>
        <v>959.66666666666663</v>
      </c>
      <c r="AH21" s="7">
        <f t="shared" si="8"/>
        <v>966.33333333333337</v>
      </c>
    </row>
    <row r="22" spans="1:40">
      <c r="A22" s="1">
        <v>2019</v>
      </c>
      <c r="B22" s="1">
        <v>8</v>
      </c>
      <c r="C22" s="68">
        <v>833</v>
      </c>
      <c r="D22" s="34">
        <f t="shared" si="12"/>
        <v>1.7210743801652892</v>
      </c>
      <c r="E22" s="72">
        <v>7203.4525277435268</v>
      </c>
      <c r="F22" s="78">
        <v>160</v>
      </c>
      <c r="G22" s="45">
        <f t="shared" si="14"/>
        <v>7043.4525277435268</v>
      </c>
      <c r="H22" s="75">
        <v>811</v>
      </c>
      <c r="I22" s="45">
        <f t="shared" si="15"/>
        <v>5842000</v>
      </c>
      <c r="J22" s="45">
        <f t="shared" si="16"/>
        <v>129760</v>
      </c>
      <c r="K22" s="45">
        <f t="shared" si="17"/>
        <v>5712240</v>
      </c>
      <c r="L22" s="78">
        <v>7420000</v>
      </c>
      <c r="M22" s="45">
        <f t="shared" si="18"/>
        <v>-1707760</v>
      </c>
      <c r="N22" s="80">
        <f t="shared" si="0"/>
        <v>628106</v>
      </c>
      <c r="O22" s="80">
        <f t="shared" si="1"/>
        <v>425136</v>
      </c>
      <c r="P22" s="80">
        <f t="shared" si="4"/>
        <v>1053242</v>
      </c>
      <c r="Q22" s="80">
        <f t="shared" si="19"/>
        <v>1298.6954377311961</v>
      </c>
      <c r="R22" s="81">
        <v>308979</v>
      </c>
      <c r="S22" s="81">
        <v>240348</v>
      </c>
      <c r="T22" s="82">
        <f t="shared" si="5"/>
        <v>549327</v>
      </c>
      <c r="U22" s="80">
        <f t="shared" si="3"/>
        <v>677.34525277435262</v>
      </c>
      <c r="V22" s="81">
        <v>387758</v>
      </c>
      <c r="W22" s="81">
        <v>116157</v>
      </c>
      <c r="X22" s="82">
        <f t="shared" si="6"/>
        <v>503915</v>
      </c>
      <c r="Y22" s="80" t="e">
        <f>X22/#REF!</f>
        <v>#REF!</v>
      </c>
      <c r="Z22" s="80">
        <f t="shared" si="9"/>
        <v>12710814</v>
      </c>
      <c r="AA22" s="28">
        <f t="shared" si="10"/>
        <v>9193</v>
      </c>
      <c r="AB22" s="80">
        <f t="shared" si="13"/>
        <v>1382.6622430109867</v>
      </c>
      <c r="AC22" s="20"/>
      <c r="AF22">
        <v>201908</v>
      </c>
      <c r="AG22" s="7">
        <f t="shared" si="7"/>
        <v>964.33333333333337</v>
      </c>
      <c r="AH22" s="7">
        <f t="shared" si="8"/>
        <v>1003.1666666666666</v>
      </c>
    </row>
    <row r="23" spans="1:40">
      <c r="A23" s="1">
        <v>2019</v>
      </c>
      <c r="B23" s="1">
        <v>9</v>
      </c>
      <c r="C23" s="68">
        <v>931</v>
      </c>
      <c r="D23" s="34">
        <f t="shared" si="12"/>
        <v>1.8922764227642277</v>
      </c>
      <c r="E23" s="72">
        <v>7555.1839464882942</v>
      </c>
      <c r="F23" s="78">
        <v>160</v>
      </c>
      <c r="G23" s="45">
        <f t="shared" si="14"/>
        <v>7395.1839464882942</v>
      </c>
      <c r="H23" s="75">
        <v>897</v>
      </c>
      <c r="I23" s="45">
        <f t="shared" si="15"/>
        <v>6777000</v>
      </c>
      <c r="J23" s="45">
        <f t="shared" si="16"/>
        <v>143520</v>
      </c>
      <c r="K23" s="45">
        <f t="shared" si="17"/>
        <v>6633480</v>
      </c>
      <c r="L23" s="78">
        <v>7420000</v>
      </c>
      <c r="M23" s="45">
        <f t="shared" si="18"/>
        <v>-786520</v>
      </c>
      <c r="N23" s="80">
        <f t="shared" si="0"/>
        <v>724918</v>
      </c>
      <c r="O23" s="80">
        <f t="shared" si="1"/>
        <v>511596</v>
      </c>
      <c r="P23" s="80">
        <f t="shared" ref="P23:P28" si="20">SUM(N23:O23)</f>
        <v>1236514</v>
      </c>
      <c r="Q23" s="80">
        <f t="shared" si="19"/>
        <v>1378.499442586399</v>
      </c>
      <c r="R23" s="81">
        <v>511596</v>
      </c>
      <c r="S23" s="81">
        <v>724918</v>
      </c>
      <c r="T23" s="82">
        <f t="shared" si="5"/>
        <v>1236514</v>
      </c>
      <c r="U23" s="80">
        <f t="shared" si="3"/>
        <v>1378.499442586399</v>
      </c>
      <c r="V23" s="81">
        <v>0</v>
      </c>
      <c r="W23" s="81">
        <v>0</v>
      </c>
      <c r="X23" s="82">
        <f t="shared" ref="X23:X28" si="21">SUM(V23:W23)</f>
        <v>0</v>
      </c>
      <c r="Y23" s="80" t="e">
        <f>X23/#REF!</f>
        <v>#REF!</v>
      </c>
      <c r="Z23" s="80">
        <f t="shared" si="9"/>
        <v>13687519</v>
      </c>
      <c r="AA23" s="28">
        <f t="shared" si="10"/>
        <v>9602</v>
      </c>
      <c r="AB23" s="80">
        <f t="shared" si="13"/>
        <v>1425.4862528639867</v>
      </c>
      <c r="AC23" s="20"/>
      <c r="AF23">
        <v>201909</v>
      </c>
      <c r="AG23" s="7">
        <f t="shared" si="7"/>
        <v>945</v>
      </c>
      <c r="AH23" s="7">
        <f t="shared" si="8"/>
        <v>949.83333333333337</v>
      </c>
    </row>
    <row r="24" spans="1:40">
      <c r="A24" s="1">
        <v>2019</v>
      </c>
      <c r="B24" s="1">
        <v>10</v>
      </c>
      <c r="C24" s="68">
        <v>857</v>
      </c>
      <c r="D24" s="34">
        <f t="shared" si="12"/>
        <v>1.5610200364298725</v>
      </c>
      <c r="E24" s="72">
        <v>9846.733668341707</v>
      </c>
      <c r="F24" s="78">
        <v>160</v>
      </c>
      <c r="G24" s="45">
        <f t="shared" si="14"/>
        <v>9686.733668341707</v>
      </c>
      <c r="H24" s="75">
        <v>796</v>
      </c>
      <c r="I24" s="45">
        <f t="shared" si="15"/>
        <v>7837999.9999999991</v>
      </c>
      <c r="J24" s="45">
        <f t="shared" si="16"/>
        <v>127360</v>
      </c>
      <c r="K24" s="45">
        <f t="shared" si="17"/>
        <v>7710639.9999999991</v>
      </c>
      <c r="L24" s="78">
        <v>7420000</v>
      </c>
      <c r="M24" s="45">
        <f t="shared" si="18"/>
        <v>290639.99999999907</v>
      </c>
      <c r="N24" s="80">
        <f t="shared" si="0"/>
        <v>627303</v>
      </c>
      <c r="O24" s="80">
        <f t="shared" si="1"/>
        <v>381737</v>
      </c>
      <c r="P24" s="80">
        <f t="shared" si="20"/>
        <v>1009040</v>
      </c>
      <c r="Q24" s="80">
        <f t="shared" si="19"/>
        <v>1267.6381909547738</v>
      </c>
      <c r="R24" s="81">
        <v>381737</v>
      </c>
      <c r="S24" s="81">
        <v>627303</v>
      </c>
      <c r="T24" s="82">
        <f t="shared" si="5"/>
        <v>1009040</v>
      </c>
      <c r="U24" s="80">
        <f t="shared" si="3"/>
        <v>1267.6381909547738</v>
      </c>
      <c r="V24" s="81">
        <v>0</v>
      </c>
      <c r="W24" s="81">
        <v>0</v>
      </c>
      <c r="X24" s="82">
        <f t="shared" si="21"/>
        <v>0</v>
      </c>
      <c r="Y24" s="80" t="e">
        <f>X24/#REF!</f>
        <v>#REF!</v>
      </c>
      <c r="Z24" s="80">
        <f t="shared" si="9"/>
        <v>14091143</v>
      </c>
      <c r="AA24" s="28">
        <f t="shared" si="10"/>
        <v>9828</v>
      </c>
      <c r="AB24" s="80">
        <f t="shared" si="13"/>
        <v>1433.7752340252341</v>
      </c>
      <c r="AC24" s="20" t="s">
        <v>19</v>
      </c>
      <c r="AF24">
        <v>201910</v>
      </c>
      <c r="AG24" s="7">
        <f t="shared" si="7"/>
        <v>834.66666666666663</v>
      </c>
      <c r="AH24" s="7">
        <f t="shared" si="8"/>
        <v>897.16666666666663</v>
      </c>
    </row>
    <row r="25" spans="1:40">
      <c r="A25" s="1">
        <v>2019</v>
      </c>
      <c r="B25" s="1">
        <v>11</v>
      </c>
      <c r="C25" s="68">
        <v>667</v>
      </c>
      <c r="D25" s="34">
        <f t="shared" si="12"/>
        <v>1.1519861830742659</v>
      </c>
      <c r="E25" s="72">
        <v>9915.7392686804451</v>
      </c>
      <c r="F25" s="78">
        <v>160</v>
      </c>
      <c r="G25" s="45">
        <f t="shared" si="14"/>
        <v>9755.7392686804451</v>
      </c>
      <c r="H25" s="75">
        <v>629</v>
      </c>
      <c r="I25" s="45">
        <f t="shared" si="15"/>
        <v>6237000</v>
      </c>
      <c r="J25" s="45">
        <f t="shared" si="16"/>
        <v>100640</v>
      </c>
      <c r="K25" s="45">
        <f t="shared" si="17"/>
        <v>6136360</v>
      </c>
      <c r="L25" s="78">
        <v>7420000</v>
      </c>
      <c r="M25" s="45">
        <f t="shared" si="18"/>
        <v>-1283640</v>
      </c>
      <c r="N25" s="80">
        <f t="shared" si="0"/>
        <v>464080</v>
      </c>
      <c r="O25" s="80">
        <f t="shared" si="1"/>
        <v>266719</v>
      </c>
      <c r="P25" s="80">
        <f t="shared" si="20"/>
        <v>730799</v>
      </c>
      <c r="Q25" s="80">
        <f t="shared" si="19"/>
        <v>1161.8426073131955</v>
      </c>
      <c r="R25" s="81">
        <v>266719</v>
      </c>
      <c r="S25" s="81">
        <v>464080</v>
      </c>
      <c r="T25" s="82">
        <f t="shared" si="5"/>
        <v>730799</v>
      </c>
      <c r="U25" s="80">
        <f t="shared" si="3"/>
        <v>1161.8426073131955</v>
      </c>
      <c r="V25" s="81">
        <v>0</v>
      </c>
      <c r="W25" s="81">
        <v>0</v>
      </c>
      <c r="X25" s="82">
        <f t="shared" si="21"/>
        <v>0</v>
      </c>
      <c r="Y25" s="80" t="e">
        <f>X25/#REF!</f>
        <v>#REF!</v>
      </c>
      <c r="Z25" s="80">
        <f t="shared" si="9"/>
        <v>14016038</v>
      </c>
      <c r="AA25" s="28">
        <f t="shared" si="10"/>
        <v>9903</v>
      </c>
      <c r="AB25" s="80">
        <f t="shared" si="13"/>
        <v>1415.332525497324</v>
      </c>
      <c r="AC25" s="20" t="s">
        <v>21</v>
      </c>
      <c r="AF25">
        <v>201911</v>
      </c>
      <c r="AG25" s="7">
        <f t="shared" si="7"/>
        <v>774</v>
      </c>
      <c r="AH25" s="7">
        <f t="shared" si="8"/>
        <v>869.16666666666663</v>
      </c>
    </row>
    <row r="26" spans="1:40">
      <c r="A26" s="1">
        <v>2019</v>
      </c>
      <c r="B26" s="1">
        <v>12</v>
      </c>
      <c r="C26" s="68">
        <v>506</v>
      </c>
      <c r="D26" s="34">
        <f t="shared" si="12"/>
        <v>1.0326530612244897</v>
      </c>
      <c r="E26" s="72">
        <v>10030</v>
      </c>
      <c r="F26" s="78">
        <v>160</v>
      </c>
      <c r="G26" s="45">
        <f t="shared" si="14"/>
        <v>9870</v>
      </c>
      <c r="H26" s="75">
        <v>472</v>
      </c>
      <c r="I26" s="45">
        <f t="shared" si="15"/>
        <v>4734160</v>
      </c>
      <c r="J26" s="45">
        <f t="shared" si="16"/>
        <v>75520</v>
      </c>
      <c r="K26" s="45">
        <f t="shared" si="17"/>
        <v>4658640</v>
      </c>
      <c r="L26" s="78">
        <v>7420000</v>
      </c>
      <c r="M26" s="45">
        <f t="shared" si="18"/>
        <v>-2761360</v>
      </c>
      <c r="N26" s="80">
        <f t="shared" si="0"/>
        <v>477238</v>
      </c>
      <c r="O26" s="80">
        <f t="shared" si="1"/>
        <v>202353</v>
      </c>
      <c r="P26" s="80">
        <f t="shared" si="20"/>
        <v>679591</v>
      </c>
      <c r="Q26" s="80">
        <f t="shared" si="19"/>
        <v>1439.8114406779662</v>
      </c>
      <c r="R26" s="81">
        <v>202353</v>
      </c>
      <c r="S26" s="81">
        <v>477238</v>
      </c>
      <c r="T26" s="82">
        <f t="shared" si="5"/>
        <v>679591</v>
      </c>
      <c r="U26" s="80">
        <f t="shared" si="3"/>
        <v>1439.8114406779662</v>
      </c>
      <c r="V26" s="81">
        <v>0</v>
      </c>
      <c r="W26" s="81">
        <v>0</v>
      </c>
      <c r="X26" s="82">
        <f t="shared" si="21"/>
        <v>0</v>
      </c>
      <c r="Y26" s="80" t="e">
        <f>X26/#REF!</f>
        <v>#REF!</v>
      </c>
      <c r="Z26" s="80">
        <f t="shared" si="9"/>
        <v>14224064</v>
      </c>
      <c r="AA26" s="28">
        <f t="shared" si="10"/>
        <v>9978</v>
      </c>
      <c r="AB26" s="80">
        <f t="shared" si="13"/>
        <v>1425.5425937061536</v>
      </c>
      <c r="AC26" s="20" t="s">
        <v>22</v>
      </c>
      <c r="AF26">
        <v>201912</v>
      </c>
      <c r="AG26" s="7">
        <f t="shared" si="7"/>
        <v>632.33333333333337</v>
      </c>
      <c r="AH26" s="7">
        <f t="shared" si="8"/>
        <v>788.66666666666663</v>
      </c>
    </row>
    <row r="27" spans="1:40">
      <c r="A27" s="1">
        <v>2020</v>
      </c>
      <c r="B27" s="1">
        <v>1</v>
      </c>
      <c r="C27" s="68">
        <v>488</v>
      </c>
      <c r="D27" s="34">
        <f t="shared" si="12"/>
        <v>1.0061855670103093</v>
      </c>
      <c r="E27" s="71">
        <v>11150</v>
      </c>
      <c r="F27" s="78">
        <v>160</v>
      </c>
      <c r="G27" s="45">
        <f t="shared" si="14"/>
        <v>10990</v>
      </c>
      <c r="H27" s="74">
        <v>543</v>
      </c>
      <c r="I27" s="45">
        <f t="shared" ref="I27" si="22">E27*H27</f>
        <v>6054450</v>
      </c>
      <c r="J27" s="45">
        <f t="shared" ref="J27" si="23">F27*H27</f>
        <v>86880</v>
      </c>
      <c r="K27" s="45">
        <f t="shared" ref="K27" si="24">G27*H27</f>
        <v>5967570</v>
      </c>
      <c r="L27" s="78">
        <v>7420000</v>
      </c>
      <c r="M27" s="45">
        <f t="shared" ref="M27:M31" si="25">K27-L27</f>
        <v>-1452430</v>
      </c>
      <c r="N27" s="84">
        <f t="shared" si="0"/>
        <v>607712</v>
      </c>
      <c r="O27" s="80">
        <f t="shared" si="1"/>
        <v>307624</v>
      </c>
      <c r="P27" s="80">
        <f t="shared" si="20"/>
        <v>915336</v>
      </c>
      <c r="Q27" s="80">
        <f t="shared" si="19"/>
        <v>1685.7016574585634</v>
      </c>
      <c r="R27" s="81">
        <v>307624</v>
      </c>
      <c r="S27" s="81">
        <v>607712</v>
      </c>
      <c r="T27" s="82">
        <f t="shared" si="5"/>
        <v>915336</v>
      </c>
      <c r="U27" s="80">
        <f t="shared" si="3"/>
        <v>1685.7016574585634</v>
      </c>
      <c r="V27" s="81">
        <v>0</v>
      </c>
      <c r="W27" s="81">
        <v>0</v>
      </c>
      <c r="X27" s="82">
        <f t="shared" si="21"/>
        <v>0</v>
      </c>
      <c r="Y27" s="80" t="e">
        <f>X27/#REF!</f>
        <v>#REF!</v>
      </c>
      <c r="Z27" s="80">
        <f t="shared" si="9"/>
        <v>13981961</v>
      </c>
      <c r="AA27" s="28">
        <f t="shared" si="10"/>
        <v>9946</v>
      </c>
      <c r="AB27" s="80">
        <f t="shared" si="13"/>
        <v>1405.7873516991756</v>
      </c>
      <c r="AC27" s="20" t="s">
        <v>53</v>
      </c>
      <c r="AF27">
        <v>202001</v>
      </c>
      <c r="AG27" s="7">
        <f t="shared" si="7"/>
        <v>548</v>
      </c>
      <c r="AH27" s="7">
        <f t="shared" si="8"/>
        <v>691.33333333333337</v>
      </c>
    </row>
    <row r="28" spans="1:40">
      <c r="A28" s="1">
        <v>2020</v>
      </c>
      <c r="B28" s="1">
        <v>2</v>
      </c>
      <c r="C28" s="68">
        <v>540</v>
      </c>
      <c r="D28" s="34">
        <f t="shared" ref="D28" si="26">C28/C16</f>
        <v>0.87096774193548387</v>
      </c>
      <c r="E28" s="71">
        <v>11230</v>
      </c>
      <c r="F28" s="78">
        <v>160</v>
      </c>
      <c r="G28" s="45">
        <f t="shared" ref="G28:G33" si="27">E28-F28</f>
        <v>11070</v>
      </c>
      <c r="H28" s="74">
        <v>484</v>
      </c>
      <c r="I28" s="45">
        <f t="shared" ref="I28" si="28">E28*H28</f>
        <v>5435320</v>
      </c>
      <c r="J28" s="45">
        <f t="shared" ref="J28" si="29">F28*H28</f>
        <v>77440</v>
      </c>
      <c r="K28" s="45">
        <f t="shared" ref="K28:K31" si="30">G28*H28</f>
        <v>5357880</v>
      </c>
      <c r="L28" s="78">
        <v>7420000</v>
      </c>
      <c r="M28" s="45">
        <f t="shared" si="25"/>
        <v>-2062120</v>
      </c>
      <c r="N28" s="84">
        <f t="shared" si="0"/>
        <v>607742</v>
      </c>
      <c r="O28" s="80">
        <f t="shared" si="1"/>
        <v>438998</v>
      </c>
      <c r="P28" s="80">
        <f t="shared" si="20"/>
        <v>1046740</v>
      </c>
      <c r="Q28" s="80">
        <f t="shared" ref="Q28" si="31">P28/H28</f>
        <v>2162.6859504132231</v>
      </c>
      <c r="R28" s="81">
        <v>438998</v>
      </c>
      <c r="S28" s="81">
        <v>607742</v>
      </c>
      <c r="T28" s="82">
        <f t="shared" si="5"/>
        <v>1046740</v>
      </c>
      <c r="U28" s="80">
        <f t="shared" si="3"/>
        <v>2162.6859504132231</v>
      </c>
      <c r="V28" s="81">
        <v>0</v>
      </c>
      <c r="W28" s="81">
        <v>0</v>
      </c>
      <c r="X28" s="82">
        <f t="shared" si="21"/>
        <v>0</v>
      </c>
      <c r="Y28" s="80" t="e">
        <f>X28/#REF!</f>
        <v>#REF!</v>
      </c>
      <c r="Z28" s="80">
        <f t="shared" si="9"/>
        <v>13341785</v>
      </c>
      <c r="AA28" s="28">
        <f t="shared" si="10"/>
        <v>9840</v>
      </c>
      <c r="AB28" s="80">
        <f t="shared" ref="AB28" si="32">Z28/AA28</f>
        <v>1355.8724593495936</v>
      </c>
      <c r="AC28" s="20" t="s">
        <v>55</v>
      </c>
      <c r="AF28">
        <v>202002</v>
      </c>
      <c r="AG28" s="7">
        <f t="shared" si="7"/>
        <v>499.66666666666669</v>
      </c>
      <c r="AH28" s="7">
        <f t="shared" si="8"/>
        <v>636.83333333333337</v>
      </c>
    </row>
    <row r="29" spans="1:40">
      <c r="A29" s="1">
        <v>2020</v>
      </c>
      <c r="B29" s="1">
        <v>3</v>
      </c>
      <c r="C29" s="68">
        <v>442</v>
      </c>
      <c r="D29" s="34">
        <f t="shared" ref="D29" si="33">C29/C17</f>
        <v>0.65773809523809523</v>
      </c>
      <c r="E29" s="71">
        <v>10870</v>
      </c>
      <c r="F29" s="78">
        <v>160</v>
      </c>
      <c r="G29" s="45">
        <f t="shared" si="27"/>
        <v>10710</v>
      </c>
      <c r="H29" s="74">
        <v>798</v>
      </c>
      <c r="I29" s="45">
        <f t="shared" ref="I29:I31" si="34">E29*H29</f>
        <v>8674260</v>
      </c>
      <c r="J29" s="45">
        <f t="shared" ref="J29:J31" si="35">F29*H29</f>
        <v>127680</v>
      </c>
      <c r="K29" s="45">
        <f t="shared" si="30"/>
        <v>8546580</v>
      </c>
      <c r="L29" s="78">
        <v>7420000</v>
      </c>
      <c r="M29" s="45">
        <f t="shared" si="25"/>
        <v>1126580</v>
      </c>
      <c r="N29" s="84">
        <f t="shared" si="0"/>
        <v>500063</v>
      </c>
      <c r="O29" s="80">
        <f t="shared" si="1"/>
        <v>500429</v>
      </c>
      <c r="P29" s="80">
        <f t="shared" ref="P29" si="36">SUM(N29:O29)</f>
        <v>1000492</v>
      </c>
      <c r="Q29" s="80">
        <f t="shared" ref="Q29" si="37">P29/H29</f>
        <v>1253.749373433584</v>
      </c>
      <c r="R29" s="81">
        <v>500429</v>
      </c>
      <c r="S29" s="81">
        <v>500063</v>
      </c>
      <c r="T29" s="82">
        <f t="shared" si="5"/>
        <v>1000492</v>
      </c>
      <c r="U29" s="80">
        <f t="shared" si="3"/>
        <v>1253.749373433584</v>
      </c>
      <c r="V29" s="81">
        <v>0</v>
      </c>
      <c r="W29" s="81">
        <v>0</v>
      </c>
      <c r="X29" s="82">
        <f t="shared" ref="X29" si="38">SUM(V29:W29)</f>
        <v>0</v>
      </c>
      <c r="Y29" s="80" t="e">
        <f>X29/#REF!</f>
        <v>#REF!</v>
      </c>
      <c r="Z29" s="80">
        <f t="shared" si="9"/>
        <v>12219574</v>
      </c>
      <c r="AA29" s="28">
        <f t="shared" si="10"/>
        <v>9421</v>
      </c>
      <c r="AB29" s="80">
        <f t="shared" ref="AB29" si="39">Z29/AA29</f>
        <v>1297.0570003184375</v>
      </c>
      <c r="AC29" s="20" t="s">
        <v>54</v>
      </c>
      <c r="AF29">
        <v>202003</v>
      </c>
      <c r="AG29" s="7">
        <f t="shared" si="7"/>
        <v>608.33333333333337</v>
      </c>
      <c r="AH29" s="7">
        <f t="shared" si="8"/>
        <v>620.33333333333337</v>
      </c>
    </row>
    <row r="30" spans="1:40">
      <c r="A30" s="1">
        <v>2020</v>
      </c>
      <c r="B30" s="1">
        <v>4</v>
      </c>
      <c r="C30" s="68">
        <v>1396</v>
      </c>
      <c r="D30" s="34">
        <f t="shared" ref="D30" si="40">C30/C18</f>
        <v>0.86386138613861385</v>
      </c>
      <c r="E30" s="71">
        <v>10100</v>
      </c>
      <c r="F30" s="78">
        <v>160</v>
      </c>
      <c r="G30" s="45">
        <f t="shared" si="27"/>
        <v>9940</v>
      </c>
      <c r="H30" s="74">
        <v>1153</v>
      </c>
      <c r="I30" s="45">
        <f t="shared" si="34"/>
        <v>11645300</v>
      </c>
      <c r="J30" s="45">
        <f t="shared" si="35"/>
        <v>184480</v>
      </c>
      <c r="K30" s="45">
        <f t="shared" si="30"/>
        <v>11460820</v>
      </c>
      <c r="L30" s="78">
        <v>7420000</v>
      </c>
      <c r="M30" s="45">
        <f t="shared" si="25"/>
        <v>4040820</v>
      </c>
      <c r="N30" s="84">
        <f t="shared" si="0"/>
        <v>647019</v>
      </c>
      <c r="O30" s="80">
        <f t="shared" si="1"/>
        <v>565580</v>
      </c>
      <c r="P30" s="80">
        <f t="shared" ref="P30" si="41">SUM(N30:O30)</f>
        <v>1212599</v>
      </c>
      <c r="Q30" s="80">
        <f t="shared" ref="Q30" si="42">P30/H30</f>
        <v>1051.6903729401561</v>
      </c>
      <c r="R30" s="81">
        <v>565580</v>
      </c>
      <c r="S30" s="81">
        <v>647019</v>
      </c>
      <c r="T30" s="82">
        <f t="shared" si="5"/>
        <v>1212599</v>
      </c>
      <c r="U30" s="80">
        <f t="shared" si="3"/>
        <v>1051.6903729401561</v>
      </c>
      <c r="V30" s="81">
        <v>0</v>
      </c>
      <c r="W30" s="81">
        <v>0</v>
      </c>
      <c r="X30" s="82">
        <f t="shared" ref="X30" si="43">SUM(V30:W30)</f>
        <v>0</v>
      </c>
      <c r="Y30" s="80" t="e">
        <f>X30/#REF!</f>
        <v>#REF!</v>
      </c>
      <c r="Z30" s="80">
        <f t="shared" si="9"/>
        <v>11895680</v>
      </c>
      <c r="AA30" s="28">
        <f t="shared" si="10"/>
        <v>9462</v>
      </c>
      <c r="AB30" s="80">
        <f t="shared" ref="AB30" si="44">Z30/AA30</f>
        <v>1257.2056647643205</v>
      </c>
      <c r="AC30" s="20" t="s">
        <v>56</v>
      </c>
      <c r="AF30">
        <v>202004</v>
      </c>
      <c r="AG30" s="7">
        <f t="shared" si="7"/>
        <v>811.66666666666663</v>
      </c>
      <c r="AH30" s="7">
        <f t="shared" si="8"/>
        <v>679.83333333333337</v>
      </c>
    </row>
    <row r="31" spans="1:40">
      <c r="A31" s="1">
        <v>2020</v>
      </c>
      <c r="B31" s="1">
        <v>5</v>
      </c>
      <c r="C31" s="68">
        <v>889</v>
      </c>
      <c r="D31" s="34">
        <f t="shared" ref="D31:D33" si="45">C31/C19</f>
        <v>1.2111716621253406</v>
      </c>
      <c r="E31" s="71">
        <v>10100</v>
      </c>
      <c r="F31" s="78">
        <v>160</v>
      </c>
      <c r="G31" s="45">
        <f t="shared" si="27"/>
        <v>9940</v>
      </c>
      <c r="H31" s="74">
        <v>910</v>
      </c>
      <c r="I31" s="45">
        <f t="shared" si="34"/>
        <v>9191000</v>
      </c>
      <c r="J31" s="45">
        <f t="shared" si="35"/>
        <v>145600</v>
      </c>
      <c r="K31" s="45">
        <f t="shared" si="30"/>
        <v>9045400</v>
      </c>
      <c r="L31" s="78">
        <v>7420000</v>
      </c>
      <c r="M31" s="45">
        <f t="shared" si="25"/>
        <v>1625400</v>
      </c>
      <c r="N31" s="84">
        <f t="shared" si="0"/>
        <v>776247</v>
      </c>
      <c r="O31" s="80">
        <f t="shared" si="1"/>
        <v>456527</v>
      </c>
      <c r="P31" s="80">
        <f t="shared" ref="P31:P33" si="46">SUM(N31:O31)</f>
        <v>1232774</v>
      </c>
      <c r="Q31" s="80">
        <f t="shared" ref="Q31:Q33" si="47">P31/H31</f>
        <v>1354.6967032967034</v>
      </c>
      <c r="R31" s="81">
        <v>456527</v>
      </c>
      <c r="S31" s="81">
        <v>776247</v>
      </c>
      <c r="T31" s="82">
        <f t="shared" si="5"/>
        <v>1232774</v>
      </c>
      <c r="U31" s="80">
        <f t="shared" si="3"/>
        <v>1354.6967032967034</v>
      </c>
      <c r="V31" s="81">
        <v>0</v>
      </c>
      <c r="W31" s="81">
        <v>0</v>
      </c>
      <c r="X31" s="82">
        <f t="shared" ref="X31:X33" si="48">SUM(V31:W31)</f>
        <v>0</v>
      </c>
      <c r="Y31" s="80" t="e">
        <f>X31/#REF!</f>
        <v>#REF!</v>
      </c>
      <c r="Z31" s="80">
        <f t="shared" si="9"/>
        <v>12039904</v>
      </c>
      <c r="AA31" s="28">
        <f t="shared" si="10"/>
        <v>9575</v>
      </c>
      <c r="AB31" s="80">
        <f t="shared" ref="AB31:AB33" si="49">Z31/AA31</f>
        <v>1257.4312271540471</v>
      </c>
      <c r="AC31" s="20" t="s">
        <v>57</v>
      </c>
      <c r="AF31">
        <v>202005</v>
      </c>
      <c r="AG31" s="7">
        <f t="shared" si="7"/>
        <v>953.66666666666663</v>
      </c>
      <c r="AH31" s="7">
        <f t="shared" si="8"/>
        <v>726.66666666666663</v>
      </c>
    </row>
    <row r="32" spans="1:40">
      <c r="A32" s="1">
        <v>2020</v>
      </c>
      <c r="B32" s="1">
        <v>6</v>
      </c>
      <c r="C32" s="68">
        <v>872</v>
      </c>
      <c r="D32" s="34">
        <f t="shared" si="45"/>
        <v>0.92667375132837404</v>
      </c>
      <c r="E32" s="71">
        <v>10100</v>
      </c>
      <c r="F32" s="78">
        <v>160</v>
      </c>
      <c r="G32" s="45">
        <f t="shared" si="27"/>
        <v>9940</v>
      </c>
      <c r="H32" s="74">
        <v>854</v>
      </c>
      <c r="I32" s="45">
        <f t="shared" ref="I32" si="50">E32*H32</f>
        <v>8625400</v>
      </c>
      <c r="J32" s="45">
        <f t="shared" ref="J32" si="51">F32*H32</f>
        <v>136640</v>
      </c>
      <c r="K32" s="45">
        <f t="shared" ref="K32" si="52">G32*H32</f>
        <v>8488760</v>
      </c>
      <c r="L32" s="78">
        <v>7420000</v>
      </c>
      <c r="M32" s="45">
        <f t="shared" ref="M32" si="53">K32-L32</f>
        <v>1068760</v>
      </c>
      <c r="N32" s="84">
        <f t="shared" si="0"/>
        <v>914812</v>
      </c>
      <c r="O32" s="80">
        <f t="shared" si="1"/>
        <v>499768</v>
      </c>
      <c r="P32" s="80">
        <f t="shared" si="46"/>
        <v>1414580</v>
      </c>
      <c r="Q32" s="80">
        <f t="shared" si="47"/>
        <v>1656.4168618266979</v>
      </c>
      <c r="R32" s="81">
        <v>499768</v>
      </c>
      <c r="S32" s="81">
        <v>914812</v>
      </c>
      <c r="T32" s="82">
        <f t="shared" si="5"/>
        <v>1414580</v>
      </c>
      <c r="U32" s="80">
        <f t="shared" si="3"/>
        <v>1656.4168618266979</v>
      </c>
      <c r="V32" s="81">
        <v>0</v>
      </c>
      <c r="W32" s="81">
        <v>0</v>
      </c>
      <c r="X32" s="82">
        <f t="shared" si="48"/>
        <v>0</v>
      </c>
      <c r="Y32" s="80" t="e">
        <f>X32/#REF!</f>
        <v>#REF!</v>
      </c>
      <c r="Z32" s="80">
        <f t="shared" si="9"/>
        <v>12486269</v>
      </c>
      <c r="AA32" s="28">
        <f t="shared" si="10"/>
        <v>9474</v>
      </c>
      <c r="AB32" s="80">
        <f t="shared" si="49"/>
        <v>1317.9511294067975</v>
      </c>
      <c r="AC32" s="20" t="s">
        <v>59</v>
      </c>
      <c r="AF32">
        <v>202006</v>
      </c>
      <c r="AG32" s="7">
        <f t="shared" si="7"/>
        <v>972.33333333333337</v>
      </c>
      <c r="AH32" s="7">
        <f t="shared" si="8"/>
        <v>790.33333333333337</v>
      </c>
    </row>
    <row r="33" spans="1:34">
      <c r="A33" s="1">
        <v>2020</v>
      </c>
      <c r="B33" s="1">
        <v>7</v>
      </c>
      <c r="C33" s="68">
        <v>811</v>
      </c>
      <c r="D33" s="34">
        <f t="shared" si="45"/>
        <v>0.72088888888888891</v>
      </c>
      <c r="E33" s="71">
        <v>10100</v>
      </c>
      <c r="F33" s="78">
        <v>160</v>
      </c>
      <c r="G33" s="45">
        <f t="shared" si="27"/>
        <v>9940</v>
      </c>
      <c r="H33" s="74">
        <v>828</v>
      </c>
      <c r="I33" s="45">
        <f t="shared" ref="I33" si="54">E33*H33</f>
        <v>8362800</v>
      </c>
      <c r="J33" s="45">
        <f t="shared" ref="J33" si="55">F33*H33</f>
        <v>132480</v>
      </c>
      <c r="K33" s="45">
        <f t="shared" ref="K33" si="56">G33*H33</f>
        <v>8230320</v>
      </c>
      <c r="L33" s="78">
        <v>7420000</v>
      </c>
      <c r="M33" s="45">
        <f t="shared" ref="M33" si="57">K33-L33</f>
        <v>810320</v>
      </c>
      <c r="N33" s="84">
        <f t="shared" si="0"/>
        <v>243935</v>
      </c>
      <c r="O33" s="80">
        <f t="shared" si="1"/>
        <v>496288</v>
      </c>
      <c r="P33" s="80">
        <f t="shared" si="46"/>
        <v>740223</v>
      </c>
      <c r="Q33" s="80">
        <f t="shared" si="47"/>
        <v>893.98913043478262</v>
      </c>
      <c r="R33" s="81">
        <v>496288</v>
      </c>
      <c r="S33" s="81">
        <v>243935</v>
      </c>
      <c r="T33" s="82">
        <f t="shared" si="5"/>
        <v>740223</v>
      </c>
      <c r="U33" s="80">
        <f t="shared" si="3"/>
        <v>893.98913043478262</v>
      </c>
      <c r="V33" s="81">
        <v>0</v>
      </c>
      <c r="W33" s="81">
        <v>0</v>
      </c>
      <c r="X33" s="82">
        <f t="shared" si="48"/>
        <v>0</v>
      </c>
      <c r="Y33" s="80" t="e">
        <f>X33/#REF!</f>
        <v>#REF!</v>
      </c>
      <c r="Z33" s="80">
        <f t="shared" si="9"/>
        <v>12271930</v>
      </c>
      <c r="AA33" s="28">
        <f t="shared" si="10"/>
        <v>9175</v>
      </c>
      <c r="AB33" s="80">
        <f t="shared" si="49"/>
        <v>1337.5400544959127</v>
      </c>
      <c r="AC33" s="20" t="s">
        <v>60</v>
      </c>
      <c r="AD33" t="s">
        <v>63</v>
      </c>
      <c r="AF33">
        <v>202007</v>
      </c>
      <c r="AG33" s="7">
        <f t="shared" ref="AG33" si="58">AVERAGE(H31:H33)</f>
        <v>864</v>
      </c>
      <c r="AH33" s="7">
        <f t="shared" ref="AH33" si="59">AVERAGE(H28:H33)</f>
        <v>837.83333333333337</v>
      </c>
    </row>
    <row r="34" spans="1:34">
      <c r="A34" s="1">
        <v>2020</v>
      </c>
      <c r="B34" s="1">
        <v>8</v>
      </c>
      <c r="C34" s="68">
        <v>647</v>
      </c>
      <c r="D34" s="34">
        <f t="shared" ref="D34" si="60">C34/C22</f>
        <v>0.77671068427370948</v>
      </c>
      <c r="E34" s="71">
        <v>10100</v>
      </c>
      <c r="F34" s="78">
        <v>160</v>
      </c>
      <c r="G34" s="45">
        <f t="shared" ref="G34:G36" si="61">E34-F34</f>
        <v>9940</v>
      </c>
      <c r="H34" s="74">
        <v>584</v>
      </c>
      <c r="I34" s="45">
        <f t="shared" ref="I34" si="62">E34*H34</f>
        <v>5898400</v>
      </c>
      <c r="J34" s="45">
        <f t="shared" ref="J34" si="63">F34*H34</f>
        <v>93440</v>
      </c>
      <c r="K34" s="45">
        <f t="shared" ref="K34" si="64">G34*H34</f>
        <v>5804960</v>
      </c>
      <c r="L34" s="78">
        <v>7420000</v>
      </c>
      <c r="M34" s="45">
        <f t="shared" ref="M34:M36" si="65">K34-L34</f>
        <v>-1615040</v>
      </c>
      <c r="N34" s="84">
        <f t="shared" si="0"/>
        <v>0</v>
      </c>
      <c r="O34" s="80">
        <f t="shared" si="1"/>
        <v>711591</v>
      </c>
      <c r="P34" s="80">
        <f t="shared" ref="P34" si="66">SUM(N34:O34)</f>
        <v>711591</v>
      </c>
      <c r="Q34" s="80">
        <f t="shared" ref="Q34" si="67">P34/H34</f>
        <v>1218.4777397260275</v>
      </c>
      <c r="R34" s="81">
        <v>711591</v>
      </c>
      <c r="S34" s="81">
        <v>0</v>
      </c>
      <c r="T34" s="82">
        <f t="shared" si="5"/>
        <v>711591</v>
      </c>
      <c r="U34" s="80">
        <f t="shared" si="3"/>
        <v>1218.4777397260275</v>
      </c>
      <c r="V34" s="81">
        <v>0</v>
      </c>
      <c r="W34" s="81">
        <v>0</v>
      </c>
      <c r="X34" s="82">
        <f t="shared" ref="X34" si="68">SUM(V34:W34)</f>
        <v>0</v>
      </c>
      <c r="Y34" s="80" t="e">
        <f>X34/#REF!</f>
        <v>#REF!</v>
      </c>
      <c r="Z34" s="80">
        <f t="shared" si="9"/>
        <v>11930279</v>
      </c>
      <c r="AA34" s="28">
        <f t="shared" si="10"/>
        <v>8948</v>
      </c>
      <c r="AB34" s="80">
        <f t="shared" ref="AB34" si="69">Z34/AA34</f>
        <v>1333.2900089405455</v>
      </c>
      <c r="AC34" s="20" t="s">
        <v>62</v>
      </c>
      <c r="AF34">
        <v>202008</v>
      </c>
      <c r="AG34" s="7">
        <f t="shared" ref="AG34" si="70">AVERAGE(H32:H34)</f>
        <v>755.33333333333337</v>
      </c>
      <c r="AH34" s="7">
        <f t="shared" ref="AH34" si="71">AVERAGE(H29:H34)</f>
        <v>854.5</v>
      </c>
    </row>
    <row r="35" spans="1:34">
      <c r="A35" s="1">
        <v>2020</v>
      </c>
      <c r="B35" s="1">
        <v>9</v>
      </c>
      <c r="C35" s="68">
        <v>618</v>
      </c>
      <c r="D35" s="34">
        <f t="shared" ref="D35" si="72">C35/C23</f>
        <v>0.66380236305048335</v>
      </c>
      <c r="E35" s="71">
        <v>10100</v>
      </c>
      <c r="F35" s="78">
        <v>160</v>
      </c>
      <c r="G35" s="45">
        <f t="shared" si="61"/>
        <v>9940</v>
      </c>
      <c r="H35" s="74">
        <v>620</v>
      </c>
      <c r="I35" s="45">
        <f t="shared" ref="I35:I36" si="73">E35*H35</f>
        <v>6262000</v>
      </c>
      <c r="J35" s="45">
        <f t="shared" ref="J35:J36" si="74">F35*H35</f>
        <v>99200</v>
      </c>
      <c r="K35" s="45">
        <f t="shared" ref="K35:K36" si="75">G35*H35</f>
        <v>6162800</v>
      </c>
      <c r="L35" s="78">
        <v>7420000</v>
      </c>
      <c r="M35" s="45">
        <f t="shared" si="65"/>
        <v>-1257200</v>
      </c>
      <c r="N35" s="84">
        <f t="shared" ref="N35" si="76">S35+V35</f>
        <v>0</v>
      </c>
      <c r="O35" s="80">
        <f t="shared" ref="O35" si="77">R35+W35</f>
        <v>674275</v>
      </c>
      <c r="P35" s="80">
        <f t="shared" ref="P35" si="78">SUM(N35:O35)</f>
        <v>674275</v>
      </c>
      <c r="Q35" s="80">
        <f t="shared" ref="Q35" si="79">P35/H35</f>
        <v>1087.5403225806451</v>
      </c>
      <c r="R35" s="81">
        <v>674275</v>
      </c>
      <c r="S35" s="81">
        <v>0</v>
      </c>
      <c r="T35" s="82">
        <f t="shared" ref="T35" si="80">SUM(R35:S35)</f>
        <v>674275</v>
      </c>
      <c r="U35" s="80">
        <f t="shared" ref="U35" si="81">T35/H35</f>
        <v>1087.5403225806451</v>
      </c>
      <c r="V35" s="81">
        <v>0</v>
      </c>
      <c r="W35" s="81">
        <v>0</v>
      </c>
      <c r="X35" s="82">
        <f t="shared" ref="X35" si="82">SUM(V35:W35)</f>
        <v>0</v>
      </c>
      <c r="Y35" s="80" t="e">
        <f>X35/#REF!</f>
        <v>#REF!</v>
      </c>
      <c r="Z35" s="80">
        <f t="shared" ref="Z35" si="83">SUM(P24:P35)</f>
        <v>11368040</v>
      </c>
      <c r="AA35" s="28">
        <f t="shared" ref="AA35" si="84">SUM(H24:H35)</f>
        <v>8671</v>
      </c>
      <c r="AB35" s="80">
        <f t="shared" ref="AB35" si="85">Z35/AA35</f>
        <v>1311.0414023757353</v>
      </c>
      <c r="AC35" s="20" t="s">
        <v>64</v>
      </c>
      <c r="AF35">
        <v>202009</v>
      </c>
      <c r="AG35" s="7">
        <f t="shared" ref="AG35" si="86">AVERAGE(H33:H35)</f>
        <v>677.33333333333337</v>
      </c>
      <c r="AH35" s="7">
        <f t="shared" ref="AH35" si="87">AVERAGE(H30:H35)</f>
        <v>824.83333333333337</v>
      </c>
    </row>
    <row r="36" spans="1:34">
      <c r="A36" s="1">
        <v>2020</v>
      </c>
      <c r="B36" s="1">
        <v>10</v>
      </c>
      <c r="C36" s="68">
        <v>635</v>
      </c>
      <c r="D36" s="34">
        <f t="shared" ref="D36" si="88">C36/C24</f>
        <v>0.74095682613768965</v>
      </c>
      <c r="E36" s="71">
        <v>10100</v>
      </c>
      <c r="F36" s="78">
        <v>160</v>
      </c>
      <c r="G36" s="45">
        <f t="shared" si="61"/>
        <v>9940</v>
      </c>
      <c r="H36" s="74">
        <v>631</v>
      </c>
      <c r="I36" s="45">
        <f t="shared" si="73"/>
        <v>6373100</v>
      </c>
      <c r="J36" s="45">
        <f t="shared" si="74"/>
        <v>100960</v>
      </c>
      <c r="K36" s="45">
        <f t="shared" si="75"/>
        <v>6272140</v>
      </c>
      <c r="L36" s="78">
        <v>7420000</v>
      </c>
      <c r="M36" s="45">
        <f t="shared" si="65"/>
        <v>-1147860</v>
      </c>
      <c r="N36" s="84">
        <f t="shared" ref="N36" si="89">S36+V36</f>
        <v>0</v>
      </c>
      <c r="O36" s="80">
        <f t="shared" ref="O36" si="90">R36+W36</f>
        <v>715975</v>
      </c>
      <c r="P36" s="80">
        <f t="shared" ref="P36" si="91">SUM(N36:O36)</f>
        <v>715975</v>
      </c>
      <c r="Q36" s="80">
        <f t="shared" ref="Q36" si="92">P36/H36</f>
        <v>1134.6671949286847</v>
      </c>
      <c r="R36" s="81">
        <v>715975</v>
      </c>
      <c r="S36" s="81">
        <v>0</v>
      </c>
      <c r="T36" s="82">
        <f t="shared" ref="T36" si="93">SUM(R36:S36)</f>
        <v>715975</v>
      </c>
      <c r="U36" s="80">
        <f t="shared" ref="U36" si="94">T36/H36</f>
        <v>1134.6671949286847</v>
      </c>
      <c r="V36" s="81">
        <v>0</v>
      </c>
      <c r="W36" s="81">
        <v>0</v>
      </c>
      <c r="X36" s="82">
        <f t="shared" ref="X36" si="95">SUM(V36:W36)</f>
        <v>0</v>
      </c>
      <c r="Y36" s="80" t="e">
        <f>X36/#REF!</f>
        <v>#REF!</v>
      </c>
      <c r="Z36" s="80">
        <f t="shared" ref="Z36" si="96">SUM(P25:P36)</f>
        <v>11074975</v>
      </c>
      <c r="AA36" s="28">
        <f t="shared" ref="AA36" si="97">SUM(H25:H36)</f>
        <v>8506</v>
      </c>
      <c r="AB36" s="80">
        <f t="shared" ref="AB36" si="98">Z36/AA36</f>
        <v>1302.0191629438043</v>
      </c>
      <c r="AC36" s="20" t="s">
        <v>65</v>
      </c>
      <c r="AF36">
        <v>202010</v>
      </c>
      <c r="AG36" s="7">
        <f t="shared" ref="AG36" si="99">AVERAGE(H34:H36)</f>
        <v>611.66666666666663</v>
      </c>
      <c r="AH36" s="7">
        <f t="shared" ref="AH36" si="100">AVERAGE(H31:H36)</f>
        <v>737.83333333333337</v>
      </c>
    </row>
    <row r="37" spans="1:34">
      <c r="A37" s="1">
        <v>2020</v>
      </c>
      <c r="B37" s="1">
        <v>11</v>
      </c>
      <c r="C37" s="68">
        <v>543</v>
      </c>
      <c r="D37" s="34">
        <f t="shared" ref="D37" si="101">C37/C25</f>
        <v>0.81409295352323841</v>
      </c>
      <c r="E37" s="71">
        <v>10100</v>
      </c>
      <c r="F37" s="78">
        <v>160</v>
      </c>
      <c r="G37" s="45">
        <f t="shared" ref="G37" si="102">E37-F37</f>
        <v>9940</v>
      </c>
      <c r="H37" s="74">
        <v>472</v>
      </c>
      <c r="I37" s="45">
        <f t="shared" ref="I37" si="103">E37*H37</f>
        <v>4767200</v>
      </c>
      <c r="J37" s="45">
        <f t="shared" ref="J37" si="104">F37*H37</f>
        <v>75520</v>
      </c>
      <c r="K37" s="45">
        <f t="shared" ref="K37" si="105">G37*H37</f>
        <v>4691680</v>
      </c>
      <c r="L37" s="78">
        <v>7420000</v>
      </c>
      <c r="M37" s="45">
        <f t="shared" ref="M37" si="106">K37-L37</f>
        <v>-2728320</v>
      </c>
      <c r="N37" s="84">
        <f t="shared" ref="N37" si="107">S37+V37</f>
        <v>0</v>
      </c>
      <c r="O37" s="80">
        <f t="shared" ref="O37" si="108">R37+W37</f>
        <v>473242</v>
      </c>
      <c r="P37" s="80">
        <f t="shared" ref="P37" si="109">SUM(N37:O37)</f>
        <v>473242</v>
      </c>
      <c r="Q37" s="80">
        <f t="shared" ref="Q37" si="110">P37/H37</f>
        <v>1002.6313559322034</v>
      </c>
      <c r="R37" s="81">
        <v>473242</v>
      </c>
      <c r="S37" s="81">
        <v>0</v>
      </c>
      <c r="T37" s="82">
        <f t="shared" ref="T37" si="111">SUM(R37:S37)</f>
        <v>473242</v>
      </c>
      <c r="U37" s="80">
        <f t="shared" ref="U37" si="112">T37/H37</f>
        <v>1002.6313559322034</v>
      </c>
      <c r="V37" s="81">
        <v>0</v>
      </c>
      <c r="W37" s="81">
        <v>0</v>
      </c>
      <c r="X37" s="82">
        <f t="shared" ref="X37" si="113">SUM(V37:W37)</f>
        <v>0</v>
      </c>
      <c r="Y37" s="80" t="e">
        <f>X37/#REF!</f>
        <v>#REF!</v>
      </c>
      <c r="Z37" s="80">
        <f t="shared" ref="Z37" si="114">SUM(P26:P37)</f>
        <v>10817418</v>
      </c>
      <c r="AA37" s="28">
        <f t="shared" ref="AA37" si="115">SUM(H26:H37)</f>
        <v>8349</v>
      </c>
      <c r="AB37" s="80">
        <f t="shared" ref="AB37" si="116">Z37/AA37</f>
        <v>1295.6543298598635</v>
      </c>
      <c r="AC37" s="20" t="s">
        <v>72</v>
      </c>
      <c r="AD37" t="s">
        <v>75</v>
      </c>
      <c r="AF37">
        <v>202011</v>
      </c>
      <c r="AG37" s="7">
        <f t="shared" ref="AG37" si="117">AVERAGE(H35:H37)</f>
        <v>574.33333333333337</v>
      </c>
      <c r="AH37" s="7">
        <f t="shared" ref="AH37" si="118">AVERAGE(H32:H37)</f>
        <v>664.83333333333337</v>
      </c>
    </row>
    <row r="38" spans="1:34">
      <c r="A38" s="1">
        <v>2020</v>
      </c>
      <c r="B38" s="1">
        <v>12</v>
      </c>
      <c r="C38" s="68">
        <v>416</v>
      </c>
      <c r="D38" s="34">
        <f t="shared" ref="D38" si="119">C38/C26</f>
        <v>0.82213438735177868</v>
      </c>
      <c r="E38" s="71">
        <v>10100</v>
      </c>
      <c r="F38" s="78">
        <v>160</v>
      </c>
      <c r="G38" s="45">
        <f t="shared" ref="G38:G40" si="120">E38-F38</f>
        <v>9940</v>
      </c>
      <c r="H38" s="74">
        <v>388</v>
      </c>
      <c r="I38" s="45">
        <f t="shared" ref="I38" si="121">E38*H38</f>
        <v>3918800</v>
      </c>
      <c r="J38" s="45">
        <f t="shared" ref="J38" si="122">F38*H38</f>
        <v>62080</v>
      </c>
      <c r="K38" s="45">
        <f t="shared" ref="K38" si="123">G38*H38</f>
        <v>3856720</v>
      </c>
      <c r="L38" s="78">
        <v>7420000</v>
      </c>
      <c r="M38" s="45">
        <f t="shared" ref="M38" si="124">K38-L38</f>
        <v>-3563280</v>
      </c>
      <c r="N38" s="84">
        <f t="shared" ref="N38" si="125">S38+V38</f>
        <v>358414</v>
      </c>
      <c r="O38" s="80">
        <f t="shared" ref="O38" si="126">R38+W38</f>
        <v>637677</v>
      </c>
      <c r="P38" s="80">
        <f t="shared" ref="P38" si="127">SUM(N38:O38)</f>
        <v>996091</v>
      </c>
      <c r="Q38" s="80">
        <f t="shared" ref="Q38" si="128">P38/H38</f>
        <v>2567.2448453608249</v>
      </c>
      <c r="R38" s="81">
        <v>637677</v>
      </c>
      <c r="S38" s="81">
        <v>358414</v>
      </c>
      <c r="T38" s="82">
        <f t="shared" ref="T38" si="129">SUM(R38:S38)</f>
        <v>996091</v>
      </c>
      <c r="U38" s="80">
        <f t="shared" ref="U38" si="130">T38/H38</f>
        <v>2567.2448453608249</v>
      </c>
      <c r="V38" s="81">
        <v>0</v>
      </c>
      <c r="W38" s="81">
        <v>0</v>
      </c>
      <c r="X38" s="82">
        <f t="shared" ref="X38" si="131">SUM(V38:W38)</f>
        <v>0</v>
      </c>
      <c r="Y38" s="80" t="e">
        <f>X38/#REF!</f>
        <v>#REF!</v>
      </c>
      <c r="Z38" s="80">
        <f t="shared" ref="Z38" si="132">SUM(P27:P38)</f>
        <v>11133918</v>
      </c>
      <c r="AA38" s="28">
        <f t="shared" ref="AA38" si="133">SUM(H27:H38)</f>
        <v>8265</v>
      </c>
      <c r="AB38" s="80">
        <f t="shared" ref="AB38" si="134">Z38/AA38</f>
        <v>1347.1165154264972</v>
      </c>
      <c r="AC38" s="20" t="s">
        <v>86</v>
      </c>
      <c r="AF38">
        <v>202012</v>
      </c>
      <c r="AG38" s="7">
        <f t="shared" ref="AG38" si="135">AVERAGE(H36:H38)</f>
        <v>497</v>
      </c>
      <c r="AH38" s="7">
        <f t="shared" ref="AH38" si="136">AVERAGE(H33:H38)</f>
        <v>587.16666666666663</v>
      </c>
    </row>
    <row r="39" spans="1:34">
      <c r="A39" s="1">
        <v>2021</v>
      </c>
      <c r="B39" s="1">
        <v>1</v>
      </c>
      <c r="C39" s="68">
        <v>464</v>
      </c>
      <c r="D39" s="34">
        <f t="shared" ref="D39" si="137">C39/C27</f>
        <v>0.95081967213114749</v>
      </c>
      <c r="E39" s="71">
        <v>10100</v>
      </c>
      <c r="F39" s="78">
        <v>160</v>
      </c>
      <c r="G39" s="45">
        <f t="shared" si="120"/>
        <v>9940</v>
      </c>
      <c r="H39" s="74">
        <v>489</v>
      </c>
      <c r="I39" s="45">
        <f t="shared" ref="I39:I40" si="138">E39*H39</f>
        <v>4938900</v>
      </c>
      <c r="J39" s="45">
        <f t="shared" ref="J39:J40" si="139">F39*H39</f>
        <v>78240</v>
      </c>
      <c r="K39" s="45">
        <f t="shared" ref="K39:K40" si="140">G39*H39</f>
        <v>4860660</v>
      </c>
      <c r="L39" s="78">
        <v>7420000</v>
      </c>
      <c r="M39" s="45">
        <f t="shared" ref="M39:M40" si="141">K39-L39</f>
        <v>-2559340</v>
      </c>
      <c r="N39" s="84">
        <f t="shared" ref="N39" si="142">S39+V39</f>
        <v>587531</v>
      </c>
      <c r="O39" s="80">
        <f t="shared" ref="O39" si="143">R39+W39</f>
        <v>726984</v>
      </c>
      <c r="P39" s="80">
        <f t="shared" ref="P39" si="144">SUM(N39:O39)</f>
        <v>1314515</v>
      </c>
      <c r="Q39" s="80">
        <f t="shared" ref="Q39" si="145">P39/H39</f>
        <v>2688.1697341513291</v>
      </c>
      <c r="R39" s="81">
        <v>726984</v>
      </c>
      <c r="S39" s="81">
        <v>587531</v>
      </c>
      <c r="T39" s="82">
        <f t="shared" ref="T39" si="146">SUM(R39:S39)</f>
        <v>1314515</v>
      </c>
      <c r="U39" s="80">
        <f t="shared" ref="U39" si="147">T39/H39</f>
        <v>2688.1697341513291</v>
      </c>
      <c r="V39" s="81">
        <v>0</v>
      </c>
      <c r="W39" s="81">
        <v>0</v>
      </c>
      <c r="X39" s="82">
        <f t="shared" ref="X39" si="148">SUM(V39:W39)</f>
        <v>0</v>
      </c>
      <c r="Y39" s="80" t="e">
        <f>X39/#REF!</f>
        <v>#REF!</v>
      </c>
      <c r="Z39" s="80">
        <f t="shared" ref="Z39" si="149">SUM(P28:P39)</f>
        <v>11533097</v>
      </c>
      <c r="AA39" s="28">
        <f t="shared" ref="AA39" si="150">SUM(H28:H39)</f>
        <v>8211</v>
      </c>
      <c r="AB39" s="80">
        <f t="shared" ref="AB39" si="151">Z39/AA39</f>
        <v>1404.5910364145659</v>
      </c>
      <c r="AC39" s="20" t="s">
        <v>87</v>
      </c>
      <c r="AF39">
        <v>202101</v>
      </c>
      <c r="AG39" s="7">
        <f t="shared" ref="AG39" si="152">AVERAGE(H37:H39)</f>
        <v>449.66666666666669</v>
      </c>
      <c r="AH39" s="7">
        <f t="shared" ref="AH39" si="153">AVERAGE(H34:H39)</f>
        <v>530.66666666666663</v>
      </c>
    </row>
    <row r="40" spans="1:34">
      <c r="A40" s="1">
        <v>2021</v>
      </c>
      <c r="B40" s="1">
        <v>2</v>
      </c>
      <c r="C40" s="68">
        <v>478</v>
      </c>
      <c r="D40" s="34">
        <f t="shared" ref="D40" si="154">C40/C28</f>
        <v>0.88518518518518519</v>
      </c>
      <c r="E40" s="71">
        <v>10100</v>
      </c>
      <c r="F40" s="78">
        <v>160</v>
      </c>
      <c r="G40" s="45">
        <f t="shared" si="120"/>
        <v>9940</v>
      </c>
      <c r="H40" s="74">
        <v>535</v>
      </c>
      <c r="I40" s="45">
        <f t="shared" si="138"/>
        <v>5403500</v>
      </c>
      <c r="J40" s="45">
        <f t="shared" si="139"/>
        <v>85600</v>
      </c>
      <c r="K40" s="45">
        <f t="shared" si="140"/>
        <v>5317900</v>
      </c>
      <c r="L40" s="78">
        <v>7420000</v>
      </c>
      <c r="M40" s="45">
        <f t="shared" si="141"/>
        <v>-2102100</v>
      </c>
      <c r="N40" s="84">
        <f t="shared" ref="N40" si="155">S40+V40</f>
        <v>653106</v>
      </c>
      <c r="O40" s="80">
        <f t="shared" ref="O40" si="156">R40+W40</f>
        <v>656881</v>
      </c>
      <c r="P40" s="80">
        <f t="shared" ref="P40" si="157">SUM(N40:O40)</f>
        <v>1309987</v>
      </c>
      <c r="Q40" s="80">
        <f t="shared" ref="Q40" si="158">P40/H40</f>
        <v>2448.5738317757009</v>
      </c>
      <c r="R40" s="81">
        <v>656881</v>
      </c>
      <c r="S40" s="81">
        <v>653106</v>
      </c>
      <c r="T40" s="82">
        <f t="shared" ref="T40" si="159">SUM(R40:S40)</f>
        <v>1309987</v>
      </c>
      <c r="U40" s="80">
        <f t="shared" ref="U40" si="160">T40/H40</f>
        <v>2448.5738317757009</v>
      </c>
      <c r="V40" s="81">
        <v>0</v>
      </c>
      <c r="W40" s="81">
        <v>0</v>
      </c>
      <c r="X40" s="82">
        <f t="shared" ref="X40" si="161">SUM(V40:W40)</f>
        <v>0</v>
      </c>
      <c r="Y40" s="80" t="e">
        <f>X40/#REF!</f>
        <v>#REF!</v>
      </c>
      <c r="Z40" s="80">
        <f t="shared" ref="Z40" si="162">SUM(P29:P40)</f>
        <v>11796344</v>
      </c>
      <c r="AA40" s="28">
        <f t="shared" ref="AA40" si="163">SUM(H29:H40)</f>
        <v>8262</v>
      </c>
      <c r="AB40" s="80">
        <f t="shared" ref="AB40" si="164">Z40/AA40</f>
        <v>1427.7831033648026</v>
      </c>
      <c r="AC40" s="20" t="s">
        <v>90</v>
      </c>
      <c r="AF40">
        <v>202102</v>
      </c>
      <c r="AG40" s="7">
        <f t="shared" ref="AG40" si="165">AVERAGE(H38:H40)</f>
        <v>470.66666666666669</v>
      </c>
      <c r="AH40" s="7">
        <f t="shared" ref="AH40" si="166">AVERAGE(H35:H40)</f>
        <v>522.5</v>
      </c>
    </row>
    <row r="41" spans="1:34">
      <c r="A41" s="1">
        <v>2021</v>
      </c>
      <c r="B41" s="1">
        <v>3</v>
      </c>
      <c r="C41" s="68">
        <v>559</v>
      </c>
      <c r="D41" s="34">
        <f t="shared" ref="D41:D42" si="167">C41/C29</f>
        <v>1.2647058823529411</v>
      </c>
      <c r="E41" s="71">
        <v>10100</v>
      </c>
      <c r="F41" s="78">
        <v>160</v>
      </c>
      <c r="G41" s="45">
        <f t="shared" ref="G41:G42" si="168">E41-F41</f>
        <v>9940</v>
      </c>
      <c r="H41" s="74">
        <v>1146</v>
      </c>
      <c r="I41" s="45">
        <f t="shared" ref="I41:I42" si="169">E41*H41</f>
        <v>11574600</v>
      </c>
      <c r="J41" s="45">
        <f t="shared" ref="J41:J42" si="170">F41*H41</f>
        <v>183360</v>
      </c>
      <c r="K41" s="45">
        <f t="shared" ref="K41:K42" si="171">G41*H41</f>
        <v>11391240</v>
      </c>
      <c r="L41" s="78">
        <v>7420000</v>
      </c>
      <c r="M41" s="45">
        <f t="shared" ref="M41:M42" si="172">K41-L41</f>
        <v>3971240</v>
      </c>
      <c r="N41" s="84">
        <f t="shared" ref="N41:N42" si="173">S41+V41</f>
        <v>1003332</v>
      </c>
      <c r="O41" s="80">
        <f t="shared" ref="O41:O42" si="174">R41+W41</f>
        <v>947414</v>
      </c>
      <c r="P41" s="80">
        <f t="shared" ref="P41:P42" si="175">SUM(N41:O41)</f>
        <v>1950746</v>
      </c>
      <c r="Q41" s="80">
        <f t="shared" ref="Q41:Q42" si="176">P41/H41</f>
        <v>1702.2216404886562</v>
      </c>
      <c r="R41" s="81">
        <v>947414</v>
      </c>
      <c r="S41" s="81">
        <v>1003332</v>
      </c>
      <c r="T41" s="82">
        <f t="shared" ref="T41:T42" si="177">SUM(R41:S41)</f>
        <v>1950746</v>
      </c>
      <c r="U41" s="80">
        <f t="shared" ref="U41:U42" si="178">T41/H41</f>
        <v>1702.2216404886562</v>
      </c>
      <c r="V41" s="81">
        <v>0</v>
      </c>
      <c r="W41" s="81">
        <v>0</v>
      </c>
      <c r="X41" s="82">
        <f t="shared" ref="X41:X42" si="179">SUM(V41:W41)</f>
        <v>0</v>
      </c>
      <c r="Y41" s="80" t="e">
        <f>X41/#REF!</f>
        <v>#REF!</v>
      </c>
      <c r="Z41" s="80">
        <f t="shared" ref="Z41:Z42" si="180">SUM(P30:P41)</f>
        <v>12746598</v>
      </c>
      <c r="AA41" s="28">
        <f t="shared" ref="AA41:AA42" si="181">SUM(H30:H41)</f>
        <v>8610</v>
      </c>
      <c r="AB41" s="80">
        <f t="shared" ref="AB41:AB42" si="182">Z41/AA41</f>
        <v>1480.4411149825785</v>
      </c>
      <c r="AC41" s="20" t="s">
        <v>91</v>
      </c>
      <c r="AD41" t="s">
        <v>93</v>
      </c>
      <c r="AF41">
        <v>202103</v>
      </c>
      <c r="AG41" s="7">
        <f t="shared" ref="AG41" si="183">AVERAGE(H39:H41)</f>
        <v>723.33333333333337</v>
      </c>
      <c r="AH41" s="7">
        <f t="shared" ref="AH41" si="184">AVERAGE(H36:H41)</f>
        <v>610.16666666666663</v>
      </c>
    </row>
    <row r="42" spans="1:34">
      <c r="A42" s="1">
        <v>2021</v>
      </c>
      <c r="B42" s="1">
        <v>4</v>
      </c>
      <c r="C42" s="68">
        <v>1720</v>
      </c>
      <c r="D42" s="34">
        <f t="shared" si="167"/>
        <v>1.2320916905444126</v>
      </c>
      <c r="E42" s="71">
        <v>10100</v>
      </c>
      <c r="F42" s="78">
        <v>160</v>
      </c>
      <c r="G42" s="45">
        <f t="shared" si="168"/>
        <v>9940</v>
      </c>
      <c r="H42" s="74">
        <v>1187</v>
      </c>
      <c r="I42" s="45">
        <f t="shared" si="169"/>
        <v>11988700</v>
      </c>
      <c r="J42" s="45">
        <f t="shared" si="170"/>
        <v>189920</v>
      </c>
      <c r="K42" s="45">
        <f t="shared" si="171"/>
        <v>11798780</v>
      </c>
      <c r="L42" s="78">
        <v>7420000</v>
      </c>
      <c r="M42" s="45">
        <f t="shared" si="172"/>
        <v>4378780</v>
      </c>
      <c r="N42" s="84">
        <f t="shared" si="173"/>
        <v>1230002</v>
      </c>
      <c r="O42" s="80">
        <f t="shared" si="174"/>
        <v>997507</v>
      </c>
      <c r="P42" s="80">
        <f t="shared" si="175"/>
        <v>2227509</v>
      </c>
      <c r="Q42" s="80">
        <f t="shared" si="176"/>
        <v>1876.5871946082561</v>
      </c>
      <c r="R42" s="81">
        <v>997507</v>
      </c>
      <c r="S42" s="81">
        <v>1230002</v>
      </c>
      <c r="T42" s="82">
        <f t="shared" si="177"/>
        <v>2227509</v>
      </c>
      <c r="U42" s="102">
        <f t="shared" si="178"/>
        <v>1876.5871946082561</v>
      </c>
      <c r="V42" s="81">
        <v>0</v>
      </c>
      <c r="W42" s="81">
        <v>0</v>
      </c>
      <c r="X42" s="82">
        <f t="shared" si="179"/>
        <v>0</v>
      </c>
      <c r="Y42" s="80" t="e">
        <f>X42/#REF!</f>
        <v>#REF!</v>
      </c>
      <c r="Z42" s="80">
        <f t="shared" si="180"/>
        <v>13761508</v>
      </c>
      <c r="AA42" s="28">
        <f t="shared" si="181"/>
        <v>8644</v>
      </c>
      <c r="AB42" s="80">
        <f t="shared" si="182"/>
        <v>1592.0300786672838</v>
      </c>
      <c r="AC42" s="20" t="s">
        <v>95</v>
      </c>
      <c r="AF42">
        <v>202104</v>
      </c>
      <c r="AG42" s="7">
        <f t="shared" ref="AG42" si="185">AVERAGE(H40:H42)</f>
        <v>956</v>
      </c>
      <c r="AH42" s="7">
        <f t="shared" ref="AH42" si="186">AVERAGE(H37:H42)</f>
        <v>702.83333333333337</v>
      </c>
    </row>
    <row r="43" spans="1:34">
      <c r="A43" s="1">
        <v>2021</v>
      </c>
      <c r="B43" s="1">
        <v>5</v>
      </c>
      <c r="C43" s="68">
        <v>871</v>
      </c>
      <c r="D43" s="34">
        <f t="shared" ref="D43" si="187">C43/C31</f>
        <v>0.97975253093363335</v>
      </c>
      <c r="E43" s="71">
        <v>10100</v>
      </c>
      <c r="F43" s="78">
        <v>160</v>
      </c>
      <c r="G43" s="45">
        <f t="shared" ref="G43" si="188">E43-F43</f>
        <v>9940</v>
      </c>
      <c r="H43" s="74">
        <v>875</v>
      </c>
      <c r="I43" s="45">
        <f t="shared" ref="I43" si="189">E43*H43</f>
        <v>8837500</v>
      </c>
      <c r="J43" s="45">
        <f t="shared" ref="J43" si="190">F43*H43</f>
        <v>140000</v>
      </c>
      <c r="K43" s="45">
        <f t="shared" ref="K43" si="191">G43*H43</f>
        <v>8697500</v>
      </c>
      <c r="L43" s="78">
        <v>7420000</v>
      </c>
      <c r="M43" s="45">
        <f t="shared" ref="M43" si="192">K43-L43</f>
        <v>1277500</v>
      </c>
      <c r="N43" s="84">
        <f t="shared" ref="N43" si="193">S43+V43</f>
        <v>1179312</v>
      </c>
      <c r="O43" s="80">
        <f t="shared" ref="O43" si="194">R43+W43</f>
        <v>969603</v>
      </c>
      <c r="P43" s="80">
        <f t="shared" ref="P43" si="195">SUM(N43:O43)</f>
        <v>2148915</v>
      </c>
      <c r="Q43" s="80">
        <f t="shared" ref="Q43" si="196">P43/H43</f>
        <v>2455.9028571428571</v>
      </c>
      <c r="R43" s="81">
        <v>969603</v>
      </c>
      <c r="S43" s="81">
        <v>1179312</v>
      </c>
      <c r="T43" s="82">
        <f t="shared" ref="T43" si="197">SUM(R43:S43)</f>
        <v>2148915</v>
      </c>
      <c r="U43" s="80">
        <f t="shared" ref="U43" si="198">T43/H43</f>
        <v>2455.9028571428571</v>
      </c>
      <c r="V43" s="81">
        <v>0</v>
      </c>
      <c r="W43" s="81">
        <v>0</v>
      </c>
      <c r="X43" s="82">
        <f t="shared" ref="X43" si="199">SUM(V43:W43)</f>
        <v>0</v>
      </c>
      <c r="Y43" s="80" t="e">
        <f>X43/#REF!</f>
        <v>#REF!</v>
      </c>
      <c r="Z43" s="80">
        <f t="shared" ref="Z43" si="200">SUM(P32:P43)</f>
        <v>14677649</v>
      </c>
      <c r="AA43" s="28">
        <f t="shared" ref="AA43" si="201">SUM(H32:H43)</f>
        <v>8609</v>
      </c>
      <c r="AB43" s="80">
        <f t="shared" ref="AB43" si="202">Z43/AA43</f>
        <v>1704.9191543733302</v>
      </c>
      <c r="AC43" s="20" t="s">
        <v>96</v>
      </c>
      <c r="AF43">
        <v>202105</v>
      </c>
      <c r="AG43" s="7">
        <f t="shared" ref="AG43" si="203">AVERAGE(H41:H43)</f>
        <v>1069.3333333333333</v>
      </c>
      <c r="AH43" s="7">
        <f t="shared" ref="AH43" si="204">AVERAGE(H38:H43)</f>
        <v>770</v>
      </c>
    </row>
    <row r="44" spans="1:34">
      <c r="A44" s="1">
        <v>2021</v>
      </c>
      <c r="B44" s="1">
        <v>6</v>
      </c>
      <c r="C44" s="68">
        <v>802</v>
      </c>
      <c r="D44" s="34">
        <f t="shared" ref="D44" si="205">C44/C32</f>
        <v>0.91972477064220182</v>
      </c>
      <c r="E44" s="71">
        <v>10100</v>
      </c>
      <c r="F44" s="78">
        <v>160</v>
      </c>
      <c r="G44" s="45">
        <f t="shared" ref="G44" si="206">E44-F44</f>
        <v>9940</v>
      </c>
      <c r="H44" s="74">
        <v>856</v>
      </c>
      <c r="I44" s="45">
        <f t="shared" ref="I44" si="207">E44*H44</f>
        <v>8645600</v>
      </c>
      <c r="J44" s="45">
        <f t="shared" ref="J44" si="208">F44*H44</f>
        <v>136960</v>
      </c>
      <c r="K44" s="45">
        <f t="shared" ref="K44" si="209">G44*H44</f>
        <v>8508640</v>
      </c>
      <c r="L44" s="78">
        <v>7420001</v>
      </c>
      <c r="M44" s="45">
        <f t="shared" ref="M44" si="210">K44-L44</f>
        <v>1088639</v>
      </c>
      <c r="N44" s="84">
        <f t="shared" ref="N44" si="211">S44+V44</f>
        <v>797603</v>
      </c>
      <c r="O44" s="80">
        <f t="shared" ref="O44" si="212">R44+W44</f>
        <v>969393</v>
      </c>
      <c r="P44" s="80">
        <f t="shared" ref="P44" si="213">SUM(N44:O44)</f>
        <v>1766996</v>
      </c>
      <c r="Q44" s="80">
        <f t="shared" ref="Q44" si="214">P44/H44</f>
        <v>2064.2476635514017</v>
      </c>
      <c r="R44" s="81">
        <v>969393</v>
      </c>
      <c r="S44" s="81">
        <v>797603</v>
      </c>
      <c r="T44" s="82">
        <f t="shared" ref="T44" si="215">SUM(R44:S44)</f>
        <v>1766996</v>
      </c>
      <c r="U44" s="80">
        <f t="shared" ref="U44" si="216">T44/H44</f>
        <v>2064.2476635514017</v>
      </c>
      <c r="V44" s="81">
        <v>0</v>
      </c>
      <c r="W44" s="81">
        <v>0</v>
      </c>
      <c r="X44" s="82">
        <f t="shared" ref="X44" si="217">SUM(V44:W44)</f>
        <v>0</v>
      </c>
      <c r="Y44" s="80" t="e">
        <f>X44/#REF!</f>
        <v>#REF!</v>
      </c>
      <c r="Z44" s="80">
        <f t="shared" ref="Z44" si="218">SUM(P33:P44)</f>
        <v>15030065</v>
      </c>
      <c r="AA44" s="28">
        <f t="shared" ref="AA44" si="219">SUM(H33:H44)</f>
        <v>8611</v>
      </c>
      <c r="AB44" s="80">
        <f t="shared" ref="AB44" si="220">Z44/AA44</f>
        <v>1745.4494251538729</v>
      </c>
      <c r="AC44" s="20" t="s">
        <v>97</v>
      </c>
      <c r="AF44">
        <v>202106</v>
      </c>
      <c r="AG44" s="7">
        <f t="shared" ref="AG44" si="221">AVERAGE(H42:H44)</f>
        <v>972.66666666666663</v>
      </c>
      <c r="AH44" s="7">
        <f t="shared" ref="AH44" si="222">AVERAGE(H39:H44)</f>
        <v>848</v>
      </c>
    </row>
    <row r="45" spans="1:34">
      <c r="A45" s="1">
        <v>2021</v>
      </c>
      <c r="B45" s="1">
        <v>7</v>
      </c>
      <c r="C45" s="68">
        <v>983</v>
      </c>
      <c r="D45" s="34">
        <f t="shared" ref="D45" si="223">C45/C33</f>
        <v>1.2120838471023427</v>
      </c>
      <c r="E45" s="71">
        <v>10100</v>
      </c>
      <c r="F45" s="78">
        <v>160</v>
      </c>
      <c r="G45" s="45">
        <f t="shared" ref="G45" si="224">E45-F45</f>
        <v>9940</v>
      </c>
      <c r="H45" s="74">
        <v>921</v>
      </c>
      <c r="I45" s="45">
        <f t="shared" ref="I45" si="225">E45*H45</f>
        <v>9302100</v>
      </c>
      <c r="J45" s="45">
        <f t="shared" ref="J45" si="226">F45*H45</f>
        <v>147360</v>
      </c>
      <c r="K45" s="45">
        <f t="shared" ref="K45" si="227">G45*H45</f>
        <v>9154740</v>
      </c>
      <c r="L45" s="78">
        <v>7420001</v>
      </c>
      <c r="M45" s="45">
        <f t="shared" ref="M45" si="228">K45-L45</f>
        <v>1734739</v>
      </c>
      <c r="N45" s="84">
        <f t="shared" ref="N45" si="229">S45+V45</f>
        <v>912065</v>
      </c>
      <c r="O45" s="80">
        <f t="shared" ref="O45" si="230">R45+W45</f>
        <v>918043</v>
      </c>
      <c r="P45" s="80">
        <f t="shared" ref="P45" si="231">SUM(N45:O45)</f>
        <v>1830108</v>
      </c>
      <c r="Q45" s="80">
        <f t="shared" ref="Q45" si="232">P45/H45</f>
        <v>1987.0879478827362</v>
      </c>
      <c r="R45" s="81">
        <v>918043</v>
      </c>
      <c r="S45" s="81">
        <v>912065</v>
      </c>
      <c r="T45" s="82">
        <f t="shared" ref="T45" si="233">SUM(R45:S45)</f>
        <v>1830108</v>
      </c>
      <c r="U45" s="80">
        <f t="shared" ref="U45" si="234">T45/H45</f>
        <v>1987.0879478827362</v>
      </c>
      <c r="V45" s="81">
        <v>0</v>
      </c>
      <c r="W45" s="81">
        <v>0</v>
      </c>
      <c r="X45" s="82">
        <f t="shared" ref="X45" si="235">SUM(V45:W45)</f>
        <v>0</v>
      </c>
      <c r="Y45" s="80" t="e">
        <f>X45/#REF!</f>
        <v>#REF!</v>
      </c>
      <c r="Z45" s="80">
        <f t="shared" ref="Z45" si="236">SUM(P34:P45)</f>
        <v>16119950</v>
      </c>
      <c r="AA45" s="28">
        <f t="shared" ref="AA45" si="237">SUM(H34:H45)</f>
        <v>8704</v>
      </c>
      <c r="AB45" s="80">
        <f t="shared" ref="AB45" si="238">Z45/AA45</f>
        <v>1852.0163143382354</v>
      </c>
      <c r="AC45" s="20" t="s">
        <v>98</v>
      </c>
      <c r="AF45">
        <v>202107</v>
      </c>
      <c r="AG45" s="7">
        <f t="shared" ref="AG45" si="239">AVERAGE(H43:H45)</f>
        <v>884</v>
      </c>
      <c r="AH45" s="7">
        <f t="shared" ref="AH45" si="240">AVERAGE(H40:H45)</f>
        <v>920</v>
      </c>
    </row>
    <row r="46" spans="1:34">
      <c r="A46" s="1">
        <v>2021</v>
      </c>
      <c r="B46" s="1">
        <v>8</v>
      </c>
      <c r="C46" s="68">
        <v>810</v>
      </c>
      <c r="D46" s="34">
        <f t="shared" ref="D46" si="241">C46/C34</f>
        <v>1.2519319938176199</v>
      </c>
      <c r="E46" s="71">
        <v>10100</v>
      </c>
      <c r="F46" s="78">
        <v>160</v>
      </c>
      <c r="G46" s="45">
        <f t="shared" ref="G46" si="242">E46-F46</f>
        <v>9940</v>
      </c>
      <c r="H46" s="74">
        <v>844</v>
      </c>
      <c r="I46" s="45">
        <f t="shared" ref="I46" si="243">E46*H46</f>
        <v>8524400</v>
      </c>
      <c r="J46" s="45">
        <f t="shared" ref="J46" si="244">F46*H46</f>
        <v>135040</v>
      </c>
      <c r="K46" s="45">
        <f t="shared" ref="K46" si="245">G46*H46</f>
        <v>8389360</v>
      </c>
      <c r="L46" s="78">
        <v>7420001</v>
      </c>
      <c r="M46" s="45">
        <f t="shared" ref="M46" si="246">K46-L46</f>
        <v>969359</v>
      </c>
      <c r="N46" s="84">
        <f t="shared" ref="N46" si="247">S46+V46</f>
        <v>1169613</v>
      </c>
      <c r="O46" s="80">
        <f t="shared" ref="O46" si="248">R46+W46</f>
        <v>901185</v>
      </c>
      <c r="P46" s="80">
        <f t="shared" ref="P46" si="249">SUM(N46:O46)</f>
        <v>2070798</v>
      </c>
      <c r="Q46" s="80">
        <f t="shared" ref="Q46" si="250">P46/H46</f>
        <v>2453.5521327014217</v>
      </c>
      <c r="R46" s="81">
        <v>901185</v>
      </c>
      <c r="S46" s="81">
        <v>1169613</v>
      </c>
      <c r="T46" s="82">
        <f t="shared" ref="T46" si="251">SUM(R46:S46)</f>
        <v>2070798</v>
      </c>
      <c r="U46" s="80">
        <f t="shared" ref="U46" si="252">T46/H46</f>
        <v>2453.5521327014217</v>
      </c>
      <c r="V46" s="81">
        <v>0</v>
      </c>
      <c r="W46" s="81">
        <v>0</v>
      </c>
      <c r="X46" s="82">
        <f t="shared" ref="X46" si="253">SUM(V46:W46)</f>
        <v>0</v>
      </c>
      <c r="Y46" s="80" t="e">
        <f>X46/#REF!</f>
        <v>#REF!</v>
      </c>
      <c r="Z46" s="80">
        <f t="shared" ref="Z46" si="254">SUM(P35:P46)</f>
        <v>17479157</v>
      </c>
      <c r="AA46" s="28">
        <f t="shared" ref="AA46" si="255">SUM(H35:H46)</f>
        <v>8964</v>
      </c>
      <c r="AB46" s="80">
        <f t="shared" ref="AB46" si="256">Z46/AA46</f>
        <v>1949.9282686300758</v>
      </c>
      <c r="AC46" s="20" t="s">
        <v>100</v>
      </c>
      <c r="AF46">
        <v>202108</v>
      </c>
      <c r="AG46" s="7">
        <f t="shared" ref="AG46" si="257">AVERAGE(H44:H46)</f>
        <v>873.66666666666663</v>
      </c>
      <c r="AH46" s="7">
        <f t="shared" ref="AH46" si="258">AVERAGE(H41:H46)</f>
        <v>971.5</v>
      </c>
    </row>
    <row r="47" spans="1:34">
      <c r="A47" s="1">
        <v>2021</v>
      </c>
      <c r="B47" s="1">
        <v>9</v>
      </c>
      <c r="C47" s="68">
        <v>847</v>
      </c>
      <c r="D47" s="34">
        <f t="shared" ref="D47" si="259">C47/C35</f>
        <v>1.3705501618122977</v>
      </c>
      <c r="E47" s="71">
        <v>10100</v>
      </c>
      <c r="F47" s="78">
        <v>160</v>
      </c>
      <c r="G47" s="45">
        <f t="shared" ref="G47" si="260">E47-F47</f>
        <v>9940</v>
      </c>
      <c r="H47" s="74">
        <v>844</v>
      </c>
      <c r="I47" s="45">
        <f t="shared" ref="I47" si="261">E47*H47</f>
        <v>8524400</v>
      </c>
      <c r="J47" s="45">
        <f t="shared" ref="J47" si="262">F47*H47</f>
        <v>135040</v>
      </c>
      <c r="K47" s="45">
        <f t="shared" ref="K47" si="263">G47*H47</f>
        <v>8389360</v>
      </c>
      <c r="L47" s="78">
        <v>7420001</v>
      </c>
      <c r="M47" s="45">
        <f t="shared" ref="M47" si="264">K47-L47</f>
        <v>969359</v>
      </c>
      <c r="N47" s="84">
        <f t="shared" ref="N47" si="265">S47+V47</f>
        <v>1226878</v>
      </c>
      <c r="O47" s="80">
        <f t="shared" ref="O47" si="266">R47+W47</f>
        <v>894382</v>
      </c>
      <c r="P47" s="80">
        <f t="shared" ref="P47" si="267">SUM(N47:O47)</f>
        <v>2121260</v>
      </c>
      <c r="Q47" s="80">
        <f t="shared" ref="Q47" si="268">P47/H47</f>
        <v>2513.341232227488</v>
      </c>
      <c r="R47" s="81">
        <v>894382</v>
      </c>
      <c r="S47" s="81">
        <v>1226878</v>
      </c>
      <c r="T47" s="82">
        <f t="shared" ref="T47" si="269">SUM(R47:S47)</f>
        <v>2121260</v>
      </c>
      <c r="U47" s="80">
        <f t="shared" ref="U47" si="270">T47/H47</f>
        <v>2513.341232227488</v>
      </c>
      <c r="V47" s="81">
        <v>0</v>
      </c>
      <c r="W47" s="81">
        <v>0</v>
      </c>
      <c r="X47" s="82">
        <f t="shared" ref="X47" si="271">SUM(V47:W47)</f>
        <v>0</v>
      </c>
      <c r="Y47" s="80" t="e">
        <f>X47/#REF!</f>
        <v>#REF!</v>
      </c>
      <c r="Z47" s="80">
        <f t="shared" ref="Z47" si="272">SUM(P36:P47)</f>
        <v>18926142</v>
      </c>
      <c r="AA47" s="28">
        <f t="shared" ref="AA47" si="273">SUM(H36:H47)</f>
        <v>9188</v>
      </c>
      <c r="AB47" s="80">
        <f t="shared" ref="AB47" si="274">Z47/AA47</f>
        <v>2059.8761427949498</v>
      </c>
      <c r="AC47" s="20" t="s">
        <v>99</v>
      </c>
      <c r="AF47">
        <v>202109</v>
      </c>
      <c r="AG47" s="7">
        <f t="shared" ref="AG47" si="275">AVERAGE(H45:H47)</f>
        <v>869.66666666666663</v>
      </c>
      <c r="AH47" s="7">
        <f t="shared" ref="AH47" si="276">AVERAGE(H42:H47)</f>
        <v>921.16666666666663</v>
      </c>
    </row>
    <row r="48" spans="1:34">
      <c r="A48" s="1">
        <v>2021</v>
      </c>
      <c r="B48" s="1">
        <v>10</v>
      </c>
      <c r="C48" s="68">
        <v>917</v>
      </c>
      <c r="D48" s="34">
        <f t="shared" ref="D48" si="277">C48/C36</f>
        <v>1.4440944881889763</v>
      </c>
      <c r="E48" s="71">
        <v>10100</v>
      </c>
      <c r="F48" s="78">
        <v>160</v>
      </c>
      <c r="G48" s="45">
        <f t="shared" ref="G48" si="278">E48-F48</f>
        <v>9940</v>
      </c>
      <c r="H48" s="74">
        <v>855</v>
      </c>
      <c r="I48" s="45">
        <f t="shared" ref="I48" si="279">E48*H48</f>
        <v>8635500</v>
      </c>
      <c r="J48" s="45">
        <f t="shared" ref="J48" si="280">F48*H48</f>
        <v>136800</v>
      </c>
      <c r="K48" s="45">
        <f t="shared" ref="K48" si="281">G48*H48</f>
        <v>8498700</v>
      </c>
      <c r="L48" s="78">
        <v>7420001</v>
      </c>
      <c r="M48" s="45">
        <f t="shared" ref="M48" si="282">K48-L48</f>
        <v>1078699</v>
      </c>
      <c r="N48" s="84">
        <f t="shared" ref="N48" si="283">S48+V48</f>
        <v>1192272</v>
      </c>
      <c r="O48" s="80">
        <f t="shared" ref="O48" si="284">R48+W48</f>
        <v>854875</v>
      </c>
      <c r="P48" s="80">
        <f t="shared" ref="P48" si="285">SUM(N48:O48)</f>
        <v>2047147</v>
      </c>
      <c r="Q48" s="80">
        <f t="shared" ref="Q48" si="286">P48/H48</f>
        <v>2394.323976608187</v>
      </c>
      <c r="R48" s="81">
        <v>854875</v>
      </c>
      <c r="S48" s="81">
        <v>1192272</v>
      </c>
      <c r="T48" s="82">
        <f t="shared" ref="T48" si="287">SUM(R48:S48)</f>
        <v>2047147</v>
      </c>
      <c r="U48" s="80">
        <f t="shared" ref="U48" si="288">T48/H48</f>
        <v>2394.323976608187</v>
      </c>
      <c r="V48" s="81">
        <v>0</v>
      </c>
      <c r="W48" s="81">
        <v>0</v>
      </c>
      <c r="X48" s="82">
        <f t="shared" ref="X48" si="289">SUM(V48:W48)</f>
        <v>0</v>
      </c>
      <c r="Y48" s="80" t="e">
        <f>X48/#REF!</f>
        <v>#REF!</v>
      </c>
      <c r="Z48" s="80">
        <f t="shared" ref="Z48" si="290">SUM(P37:P48)</f>
        <v>20257314</v>
      </c>
      <c r="AA48" s="28">
        <f t="shared" ref="AA48" si="291">SUM(H37:H48)</f>
        <v>9412</v>
      </c>
      <c r="AB48" s="80">
        <f t="shared" ref="AB48" si="292">Z48/AA48</f>
        <v>2152.2858053548662</v>
      </c>
      <c r="AC48" s="20" t="s">
        <v>101</v>
      </c>
      <c r="AF48">
        <v>202110</v>
      </c>
      <c r="AG48" s="7">
        <f t="shared" ref="AG48" si="293">AVERAGE(H46:H48)</f>
        <v>847.66666666666663</v>
      </c>
      <c r="AH48" s="7">
        <f t="shared" ref="AH48" si="294">AVERAGE(H43:H48)</f>
        <v>865.83333333333337</v>
      </c>
    </row>
    <row r="49" spans="1:34">
      <c r="A49" s="1">
        <v>2021</v>
      </c>
      <c r="B49" s="1">
        <v>11</v>
      </c>
      <c r="C49" s="68">
        <v>569</v>
      </c>
      <c r="D49" s="34">
        <f t="shared" ref="D49" si="295">C49/C37</f>
        <v>1.0478821362799264</v>
      </c>
      <c r="E49" s="71">
        <v>10100</v>
      </c>
      <c r="F49" s="78">
        <v>160</v>
      </c>
      <c r="G49" s="45">
        <f t="shared" ref="G49" si="296">E49-F49</f>
        <v>9940</v>
      </c>
      <c r="H49" s="74">
        <v>367</v>
      </c>
      <c r="I49" s="45">
        <f t="shared" ref="I49" si="297">E49*H49</f>
        <v>3706700</v>
      </c>
      <c r="J49" s="45">
        <f t="shared" ref="J49" si="298">F49*H49</f>
        <v>58720</v>
      </c>
      <c r="K49" s="45">
        <f t="shared" ref="K49" si="299">G49*H49</f>
        <v>3647980</v>
      </c>
      <c r="L49" s="78">
        <v>7420001</v>
      </c>
      <c r="M49" s="45">
        <f t="shared" ref="M49" si="300">K49-L49</f>
        <v>-3772021</v>
      </c>
      <c r="N49" s="84">
        <f t="shared" ref="N49" si="301">S49+V49</f>
        <v>559156</v>
      </c>
      <c r="O49" s="80">
        <f t="shared" ref="O49" si="302">R49+W49</f>
        <v>401593</v>
      </c>
      <c r="P49" s="80">
        <f t="shared" ref="P49" si="303">SUM(N49:O49)</f>
        <v>960749</v>
      </c>
      <c r="Q49" s="80">
        <f t="shared" ref="Q49" si="304">P49/H49</f>
        <v>2617.8446866485015</v>
      </c>
      <c r="R49" s="81">
        <v>401593</v>
      </c>
      <c r="S49" s="81">
        <v>559156</v>
      </c>
      <c r="T49" s="82">
        <f t="shared" ref="T49" si="305">SUM(R49:S49)</f>
        <v>960749</v>
      </c>
      <c r="U49" s="80">
        <f t="shared" ref="U49" si="306">T49/H49</f>
        <v>2617.8446866485015</v>
      </c>
      <c r="V49" s="81">
        <v>0</v>
      </c>
      <c r="W49" s="81">
        <v>0</v>
      </c>
      <c r="X49" s="82">
        <f t="shared" ref="X49" si="307">SUM(V49:W49)</f>
        <v>0</v>
      </c>
      <c r="Y49" s="80" t="e">
        <f>X49/#REF!</f>
        <v>#REF!</v>
      </c>
      <c r="Z49" s="80">
        <f t="shared" ref="Z49" si="308">SUM(P38:P49)</f>
        <v>20744821</v>
      </c>
      <c r="AA49" s="28">
        <f t="shared" ref="AA49" si="309">SUM(H38:H49)</f>
        <v>9307</v>
      </c>
      <c r="AB49" s="80">
        <f t="shared" ref="AB49" si="310">Z49/AA49</f>
        <v>2228.9482110239605</v>
      </c>
      <c r="AC49" s="20" t="s">
        <v>102</v>
      </c>
      <c r="AF49">
        <v>202111</v>
      </c>
      <c r="AG49" s="7">
        <f t="shared" ref="AG49" si="311">AVERAGE(H47:H49)</f>
        <v>688.66666666666663</v>
      </c>
      <c r="AH49" s="7">
        <f t="shared" ref="AH49" si="312">AVERAGE(H44:H49)</f>
        <v>781.16666666666663</v>
      </c>
    </row>
    <row r="50" spans="1:34">
      <c r="A50" s="1">
        <v>2021</v>
      </c>
      <c r="B50" s="1">
        <v>12</v>
      </c>
      <c r="C50" s="68">
        <v>23</v>
      </c>
      <c r="D50" s="34">
        <f t="shared" ref="D50" si="313">C50/C38</f>
        <v>5.5288461538461536E-2</v>
      </c>
      <c r="E50" s="71">
        <v>10100</v>
      </c>
      <c r="F50" s="78">
        <v>160</v>
      </c>
      <c r="G50" s="45">
        <f t="shared" ref="G50" si="314">E50-F50</f>
        <v>9940</v>
      </c>
      <c r="H50" s="74"/>
      <c r="I50" s="45">
        <f t="shared" ref="I50" si="315">E50*H50</f>
        <v>0</v>
      </c>
      <c r="J50" s="45">
        <f t="shared" ref="J50" si="316">F50*H50</f>
        <v>0</v>
      </c>
      <c r="K50" s="45">
        <f t="shared" ref="K50" si="317">G50*H50</f>
        <v>0</v>
      </c>
      <c r="L50" s="78">
        <v>7420001</v>
      </c>
      <c r="M50" s="45">
        <f t="shared" ref="M50" si="318">K50-L50</f>
        <v>-7420001</v>
      </c>
      <c r="N50" s="84">
        <f t="shared" ref="N50" si="319">S50+V50</f>
        <v>0</v>
      </c>
      <c r="O50" s="80">
        <f t="shared" ref="O50" si="320">R50+W50</f>
        <v>0</v>
      </c>
      <c r="P50" s="80">
        <f t="shared" ref="P50" si="321">SUM(N50:O50)</f>
        <v>0</v>
      </c>
      <c r="Q50" s="80" t="e">
        <f t="shared" ref="Q50" si="322">P50/H50</f>
        <v>#DIV/0!</v>
      </c>
      <c r="R50" s="81">
        <v>0</v>
      </c>
      <c r="S50" s="81">
        <v>0</v>
      </c>
      <c r="T50" s="82">
        <f t="shared" ref="T50" si="323">SUM(R50:S50)</f>
        <v>0</v>
      </c>
      <c r="U50" s="80" t="e">
        <f t="shared" ref="U50" si="324">T50/H50</f>
        <v>#DIV/0!</v>
      </c>
      <c r="V50" s="81">
        <v>0</v>
      </c>
      <c r="W50" s="81">
        <v>0</v>
      </c>
      <c r="X50" s="82">
        <f t="shared" ref="X50" si="325">SUM(V50:W50)</f>
        <v>0</v>
      </c>
      <c r="Y50" s="80" t="e">
        <f>X50/#REF!</f>
        <v>#REF!</v>
      </c>
      <c r="Z50" s="80">
        <f t="shared" ref="Z50" si="326">SUM(P39:P50)</f>
        <v>19748730</v>
      </c>
      <c r="AA50" s="28">
        <f t="shared" ref="AA50" si="327">SUM(H39:H50)</f>
        <v>8919</v>
      </c>
      <c r="AB50" s="80">
        <f t="shared" ref="AB50" si="328">Z50/AA50</f>
        <v>2214.2314160780356</v>
      </c>
      <c r="AC50" s="20"/>
      <c r="AF50">
        <v>202111</v>
      </c>
      <c r="AG50" s="7">
        <f t="shared" ref="AG50" si="329">AVERAGE(H48:H50)</f>
        <v>611</v>
      </c>
      <c r="AH50" s="7">
        <f t="shared" ref="AH50" si="330">AVERAGE(H45:H50)</f>
        <v>766.2</v>
      </c>
    </row>
  </sheetData>
  <mergeCells count="4">
    <mergeCell ref="N1:Q1"/>
    <mergeCell ref="R1:U1"/>
    <mergeCell ref="V1:Y1"/>
    <mergeCell ref="Z1:AB1"/>
  </mergeCells>
  <phoneticPr fontId="3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zoomScale="82" zoomScaleNormal="100" workbookViewId="0">
      <pane xSplit="2" ySplit="2" topLeftCell="C15" activePane="bottomRight" state="frozen"/>
      <selection activeCell="C17" sqref="C17"/>
      <selection pane="topRight" activeCell="C17" sqref="C17"/>
      <selection pane="bottomLeft" activeCell="C17" sqref="C17"/>
      <selection pane="bottomRight" activeCell="D34" sqref="D34"/>
    </sheetView>
  </sheetViews>
  <sheetFormatPr defaultRowHeight="18.75"/>
  <cols>
    <col min="1" max="1" width="5.625" bestFit="1" customWidth="1"/>
    <col min="2" max="2" width="3.625" bestFit="1" customWidth="1"/>
    <col min="3" max="3" width="10.625" style="85" customWidth="1"/>
    <col min="4" max="5" width="11.125" style="85" bestFit="1" customWidth="1"/>
    <col min="6" max="6" width="44.375" customWidth="1"/>
    <col min="8" max="8" width="16.375" bestFit="1" customWidth="1"/>
    <col min="9" max="12" width="10.125" customWidth="1"/>
    <col min="13" max="13" width="11.5" bestFit="1" customWidth="1"/>
    <col min="14" max="14" width="10.125" customWidth="1"/>
  </cols>
  <sheetData>
    <row r="1" spans="1:6">
      <c r="C1" s="113" t="s">
        <v>69</v>
      </c>
      <c r="D1" s="114"/>
      <c r="E1" s="114"/>
    </row>
    <row r="2" spans="1:6">
      <c r="A2" s="1" t="s">
        <v>3</v>
      </c>
      <c r="B2" s="1" t="s">
        <v>0</v>
      </c>
      <c r="C2" s="79" t="s">
        <v>1</v>
      </c>
      <c r="D2" s="79" t="s">
        <v>2</v>
      </c>
      <c r="E2" s="79" t="s">
        <v>18</v>
      </c>
      <c r="F2" s="19"/>
    </row>
    <row r="3" spans="1:6">
      <c r="A3" s="1">
        <v>2019</v>
      </c>
      <c r="B3" s="1">
        <v>4</v>
      </c>
      <c r="C3" s="82">
        <v>0</v>
      </c>
      <c r="D3" s="82">
        <v>17</v>
      </c>
      <c r="E3" s="82">
        <f t="shared" ref="E3:E9" si="0">SUM(C3:D3)</f>
        <v>17</v>
      </c>
      <c r="F3" s="20" t="s">
        <v>70</v>
      </c>
    </row>
    <row r="4" spans="1:6">
      <c r="A4" s="1">
        <v>2019</v>
      </c>
      <c r="B4" s="1">
        <v>5</v>
      </c>
      <c r="C4" s="82">
        <v>25</v>
      </c>
      <c r="D4" s="82">
        <v>559</v>
      </c>
      <c r="E4" s="82">
        <f t="shared" si="0"/>
        <v>584</v>
      </c>
      <c r="F4" s="20"/>
    </row>
    <row r="5" spans="1:6">
      <c r="A5" s="1">
        <v>2019</v>
      </c>
      <c r="B5" s="1">
        <v>6</v>
      </c>
      <c r="C5" s="82">
        <v>35</v>
      </c>
      <c r="D5" s="82">
        <v>656</v>
      </c>
      <c r="E5" s="82">
        <f t="shared" si="0"/>
        <v>691</v>
      </c>
      <c r="F5" s="20"/>
    </row>
    <row r="6" spans="1:6">
      <c r="A6" s="1">
        <v>2019</v>
      </c>
      <c r="B6" s="1">
        <v>7</v>
      </c>
      <c r="C6" s="82">
        <v>25</v>
      </c>
      <c r="D6" s="82">
        <v>343</v>
      </c>
      <c r="E6" s="82">
        <f t="shared" si="0"/>
        <v>368</v>
      </c>
      <c r="F6" s="20"/>
    </row>
    <row r="7" spans="1:6">
      <c r="A7" s="1">
        <v>2019</v>
      </c>
      <c r="B7" s="1">
        <v>8</v>
      </c>
      <c r="C7" s="82">
        <v>28</v>
      </c>
      <c r="D7" s="82">
        <v>498</v>
      </c>
      <c r="E7" s="82">
        <f t="shared" si="0"/>
        <v>526</v>
      </c>
      <c r="F7" s="20"/>
    </row>
    <row r="8" spans="1:6">
      <c r="A8" s="1">
        <v>2019</v>
      </c>
      <c r="B8" s="1">
        <v>9</v>
      </c>
      <c r="C8" s="82">
        <v>11</v>
      </c>
      <c r="D8" s="82">
        <v>944</v>
      </c>
      <c r="E8" s="82">
        <f t="shared" si="0"/>
        <v>955</v>
      </c>
      <c r="F8" s="20"/>
    </row>
    <row r="9" spans="1:6">
      <c r="A9" s="1">
        <v>2019</v>
      </c>
      <c r="B9" s="1">
        <v>10</v>
      </c>
      <c r="C9" s="82">
        <v>21</v>
      </c>
      <c r="D9" s="82">
        <v>1615</v>
      </c>
      <c r="E9" s="82">
        <f t="shared" si="0"/>
        <v>1636</v>
      </c>
      <c r="F9" s="20"/>
    </row>
    <row r="10" spans="1:6">
      <c r="A10" s="1">
        <v>2019</v>
      </c>
      <c r="B10" s="1">
        <v>11</v>
      </c>
      <c r="C10" s="81">
        <v>20</v>
      </c>
      <c r="D10" s="81">
        <v>820</v>
      </c>
      <c r="E10" s="82">
        <f>SUM(C10:D10)</f>
        <v>840</v>
      </c>
      <c r="F10" s="20"/>
    </row>
    <row r="11" spans="1:6">
      <c r="A11" s="1">
        <v>2019</v>
      </c>
      <c r="B11" s="1">
        <v>12</v>
      </c>
      <c r="C11" s="81">
        <v>1</v>
      </c>
      <c r="D11" s="81">
        <v>1113</v>
      </c>
      <c r="E11" s="82">
        <f t="shared" ref="E11:E21" si="1">SUM(C11:D11)</f>
        <v>1114</v>
      </c>
      <c r="F11" s="20"/>
    </row>
    <row r="12" spans="1:6">
      <c r="A12" s="1">
        <v>2020</v>
      </c>
      <c r="B12" s="1">
        <v>1</v>
      </c>
      <c r="C12" s="81">
        <v>65</v>
      </c>
      <c r="D12" s="81">
        <v>1223</v>
      </c>
      <c r="E12" s="82">
        <f t="shared" si="1"/>
        <v>1288</v>
      </c>
      <c r="F12" s="20"/>
    </row>
    <row r="13" spans="1:6">
      <c r="A13" s="1">
        <v>2020</v>
      </c>
      <c r="B13" s="1">
        <v>2</v>
      </c>
      <c r="C13" s="81">
        <v>31</v>
      </c>
      <c r="D13" s="81">
        <v>2424</v>
      </c>
      <c r="E13" s="82">
        <f t="shared" si="1"/>
        <v>2455</v>
      </c>
      <c r="F13" s="20"/>
    </row>
    <row r="14" spans="1:6">
      <c r="A14" s="1">
        <v>2020</v>
      </c>
      <c r="B14" s="1">
        <v>3</v>
      </c>
      <c r="C14" s="81">
        <v>57</v>
      </c>
      <c r="D14" s="81">
        <v>3229</v>
      </c>
      <c r="E14" s="82">
        <f t="shared" si="1"/>
        <v>3286</v>
      </c>
      <c r="F14" s="20"/>
    </row>
    <row r="15" spans="1:6">
      <c r="A15" s="1">
        <v>2020</v>
      </c>
      <c r="B15" s="1">
        <v>4</v>
      </c>
      <c r="C15" s="81">
        <v>125</v>
      </c>
      <c r="D15" s="81">
        <v>2645</v>
      </c>
      <c r="E15" s="82">
        <f t="shared" si="1"/>
        <v>2770</v>
      </c>
      <c r="F15" s="20"/>
    </row>
    <row r="16" spans="1:6">
      <c r="A16" s="1">
        <v>2020</v>
      </c>
      <c r="B16" s="1">
        <v>5</v>
      </c>
      <c r="C16" s="81">
        <v>72</v>
      </c>
      <c r="D16" s="81">
        <v>2252</v>
      </c>
      <c r="E16" s="82">
        <f t="shared" si="1"/>
        <v>2324</v>
      </c>
      <c r="F16" s="20"/>
    </row>
    <row r="17" spans="1:6">
      <c r="A17" s="1">
        <v>2020</v>
      </c>
      <c r="B17" s="1">
        <v>6</v>
      </c>
      <c r="C17" s="81">
        <v>42</v>
      </c>
      <c r="D17" s="81">
        <v>1968</v>
      </c>
      <c r="E17" s="82">
        <f t="shared" si="1"/>
        <v>2010</v>
      </c>
      <c r="F17" s="20"/>
    </row>
    <row r="18" spans="1:6">
      <c r="A18" s="1">
        <v>2020</v>
      </c>
      <c r="B18" s="1">
        <v>7</v>
      </c>
      <c r="C18" s="81">
        <v>23</v>
      </c>
      <c r="D18" s="81">
        <v>1703</v>
      </c>
      <c r="E18" s="82">
        <f t="shared" si="1"/>
        <v>1726</v>
      </c>
      <c r="F18" s="20"/>
    </row>
    <row r="19" spans="1:6">
      <c r="A19" s="1">
        <v>2020</v>
      </c>
      <c r="B19" s="1">
        <v>8</v>
      </c>
      <c r="C19" s="81">
        <v>32</v>
      </c>
      <c r="D19" s="81">
        <v>1854</v>
      </c>
      <c r="E19" s="82">
        <f t="shared" si="1"/>
        <v>1886</v>
      </c>
      <c r="F19" s="20"/>
    </row>
    <row r="20" spans="1:6">
      <c r="A20" s="1">
        <v>2020</v>
      </c>
      <c r="B20" s="1">
        <v>9</v>
      </c>
      <c r="C20" s="81">
        <v>80</v>
      </c>
      <c r="D20" s="81">
        <v>2814</v>
      </c>
      <c r="E20" s="82">
        <f t="shared" si="1"/>
        <v>2894</v>
      </c>
      <c r="F20" s="20"/>
    </row>
    <row r="21" spans="1:6">
      <c r="A21" s="1">
        <v>2020</v>
      </c>
      <c r="B21" s="1">
        <v>10</v>
      </c>
      <c r="C21" s="81">
        <v>685</v>
      </c>
      <c r="D21" s="81">
        <v>794</v>
      </c>
      <c r="E21" s="82">
        <f t="shared" si="1"/>
        <v>1479</v>
      </c>
      <c r="F21" s="20"/>
    </row>
    <row r="22" spans="1:6">
      <c r="A22" s="1">
        <v>2020</v>
      </c>
      <c r="B22" s="1">
        <v>11</v>
      </c>
      <c r="C22" s="81">
        <v>1199</v>
      </c>
      <c r="D22" s="81">
        <v>6</v>
      </c>
      <c r="E22" s="82">
        <f t="shared" ref="E22" si="2">SUM(C22:D22)</f>
        <v>1205</v>
      </c>
      <c r="F22" s="20" t="s">
        <v>73</v>
      </c>
    </row>
    <row r="23" spans="1:6">
      <c r="A23" s="1">
        <v>2020</v>
      </c>
      <c r="B23" s="1">
        <v>12</v>
      </c>
      <c r="C23" s="81">
        <v>116</v>
      </c>
      <c r="D23" s="81">
        <v>0</v>
      </c>
      <c r="E23" s="82">
        <f t="shared" ref="E23" si="3">SUM(C23:D23)</f>
        <v>116</v>
      </c>
      <c r="F23" s="20"/>
    </row>
    <row r="24" spans="1:6">
      <c r="A24" s="1">
        <v>2021</v>
      </c>
      <c r="B24" s="1">
        <v>1</v>
      </c>
      <c r="C24" s="81">
        <v>121</v>
      </c>
      <c r="D24" s="81">
        <v>0</v>
      </c>
      <c r="E24" s="82">
        <f t="shared" ref="E24" si="4">SUM(C24:D24)</f>
        <v>121</v>
      </c>
      <c r="F24" s="20"/>
    </row>
    <row r="25" spans="1:6">
      <c r="A25" s="1">
        <v>2021</v>
      </c>
      <c r="B25" s="1">
        <v>2</v>
      </c>
      <c r="C25" s="81">
        <v>123</v>
      </c>
      <c r="D25" s="81">
        <v>0</v>
      </c>
      <c r="E25" s="82">
        <f t="shared" ref="E25" si="5">SUM(C25:D25)</f>
        <v>123</v>
      </c>
      <c r="F25" s="20"/>
    </row>
    <row r="26" spans="1:6">
      <c r="A26" s="1">
        <v>2021</v>
      </c>
      <c r="B26" s="1">
        <v>3</v>
      </c>
      <c r="C26" s="81">
        <v>346</v>
      </c>
      <c r="D26" s="81">
        <v>0</v>
      </c>
      <c r="E26" s="82">
        <f t="shared" ref="E26" si="6">SUM(C26:D26)</f>
        <v>346</v>
      </c>
      <c r="F26" s="20"/>
    </row>
    <row r="27" spans="1:6">
      <c r="A27" s="1">
        <v>2021</v>
      </c>
      <c r="B27" s="1">
        <v>4</v>
      </c>
      <c r="C27" s="81">
        <v>187</v>
      </c>
      <c r="D27" s="81">
        <v>0</v>
      </c>
      <c r="E27" s="82">
        <f t="shared" ref="E27" si="7">SUM(C27:D27)</f>
        <v>187</v>
      </c>
      <c r="F27" s="20"/>
    </row>
    <row r="28" spans="1:6">
      <c r="A28" s="1">
        <v>2021</v>
      </c>
      <c r="B28" s="1">
        <v>5</v>
      </c>
      <c r="C28" s="81">
        <v>362</v>
      </c>
      <c r="D28" s="81">
        <v>0</v>
      </c>
      <c r="E28" s="82">
        <f t="shared" ref="E28" si="8">SUM(C28:D28)</f>
        <v>362</v>
      </c>
      <c r="F28" s="20"/>
    </row>
    <row r="29" spans="1:6">
      <c r="A29" s="1">
        <v>2021</v>
      </c>
      <c r="B29" s="1">
        <v>6</v>
      </c>
      <c r="C29" s="81">
        <v>211</v>
      </c>
      <c r="D29" s="81">
        <v>0</v>
      </c>
      <c r="E29" s="82">
        <f t="shared" ref="E29" si="9">SUM(C29:D29)</f>
        <v>211</v>
      </c>
      <c r="F29" s="20"/>
    </row>
    <row r="30" spans="1:6">
      <c r="A30" s="1">
        <v>2021</v>
      </c>
      <c r="B30" s="1">
        <v>7</v>
      </c>
      <c r="C30" s="81">
        <v>267</v>
      </c>
      <c r="D30" s="81">
        <v>0</v>
      </c>
      <c r="E30" s="82">
        <f t="shared" ref="E30:E31" si="10">SUM(C30:D30)</f>
        <v>267</v>
      </c>
      <c r="F30" s="20"/>
    </row>
    <row r="31" spans="1:6">
      <c r="A31" s="1">
        <v>2021</v>
      </c>
      <c r="B31" s="1">
        <v>8</v>
      </c>
      <c r="C31" s="81">
        <v>190</v>
      </c>
      <c r="D31" s="81">
        <v>0</v>
      </c>
      <c r="E31" s="82">
        <f t="shared" si="10"/>
        <v>190</v>
      </c>
      <c r="F31" s="20"/>
    </row>
    <row r="32" spans="1:6">
      <c r="A32" s="1">
        <v>2021</v>
      </c>
      <c r="B32" s="1">
        <v>9</v>
      </c>
      <c r="C32" s="81">
        <v>146</v>
      </c>
      <c r="D32" s="81">
        <v>0</v>
      </c>
      <c r="E32" s="82">
        <f t="shared" ref="E32" si="11">SUM(C32:D32)</f>
        <v>146</v>
      </c>
      <c r="F32" s="20"/>
    </row>
    <row r="33" spans="1:6">
      <c r="A33" s="1">
        <v>2021</v>
      </c>
      <c r="B33" s="1">
        <v>10</v>
      </c>
      <c r="C33" s="81">
        <v>272</v>
      </c>
      <c r="D33" s="81">
        <v>0</v>
      </c>
      <c r="E33" s="82">
        <f t="shared" ref="E33" si="12">SUM(C33:D33)</f>
        <v>272</v>
      </c>
      <c r="F33" s="20"/>
    </row>
    <row r="34" spans="1:6">
      <c r="A34" s="1">
        <v>2021</v>
      </c>
      <c r="B34" s="1">
        <v>11</v>
      </c>
      <c r="C34" s="81">
        <v>1872</v>
      </c>
      <c r="D34" s="81">
        <v>0</v>
      </c>
      <c r="E34" s="82">
        <f t="shared" ref="E34" si="13">SUM(C34:D34)</f>
        <v>1872</v>
      </c>
      <c r="F34" s="20" t="s">
        <v>103</v>
      </c>
    </row>
  </sheetData>
  <mergeCells count="1">
    <mergeCell ref="C1:E1"/>
  </mergeCells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50"/>
  <sheetViews>
    <sheetView zoomScale="82" zoomScaleNormal="100" workbookViewId="0">
      <pane xSplit="2" ySplit="2" topLeftCell="M27" activePane="bottomRight" state="frozen"/>
      <selection pane="topRight" activeCell="C1" sqref="C1"/>
      <selection pane="bottomLeft" activeCell="A3" sqref="A3"/>
      <selection pane="bottomRight" activeCell="Z49" sqref="Z49"/>
    </sheetView>
  </sheetViews>
  <sheetFormatPr defaultRowHeight="18.75"/>
  <cols>
    <col min="1" max="1" width="5.625" bestFit="1" customWidth="1"/>
    <col min="2" max="2" width="3.625" bestFit="1" customWidth="1"/>
    <col min="3" max="4" width="13.125" customWidth="1"/>
    <col min="5" max="6" width="13.125" hidden="1" customWidth="1"/>
    <col min="7" max="7" width="8.125" style="1" bestFit="1" customWidth="1"/>
    <col min="8" max="8" width="8.125" style="1" hidden="1" customWidth="1"/>
    <col min="9" max="9" width="9.625" style="1" bestFit="1" customWidth="1"/>
    <col min="10" max="10" width="9.625" style="1" hidden="1" customWidth="1"/>
    <col min="11" max="11" width="12.375" style="1" bestFit="1" customWidth="1"/>
    <col min="12" max="12" width="12.375" style="1" hidden="1" customWidth="1"/>
    <col min="13" max="13" width="11.5" style="79" bestFit="1" customWidth="1"/>
    <col min="14" max="14" width="11.5" style="79" hidden="1" customWidth="1"/>
    <col min="15" max="15" width="11.625" style="1" bestFit="1" customWidth="1"/>
    <col min="16" max="16" width="9.625" style="1" bestFit="1" customWidth="1"/>
    <col min="17" max="17" width="11.5" style="1" bestFit="1" customWidth="1"/>
    <col min="18" max="18" width="10.625" style="1" bestFit="1" customWidth="1"/>
    <col min="19" max="19" width="12.375" style="1" bestFit="1" customWidth="1"/>
    <col min="20" max="20" width="10.625" style="85" hidden="1" customWidth="1"/>
    <col min="21" max="21" width="10.125" style="85" hidden="1" customWidth="1"/>
    <col min="22" max="22" width="10.375" style="85" hidden="1" customWidth="1"/>
    <col min="23" max="23" width="13.5" style="86" hidden="1" customWidth="1"/>
    <col min="24" max="24" width="10.625" style="85" customWidth="1"/>
    <col min="25" max="25" width="9.875" style="85" customWidth="1"/>
    <col min="26" max="26" width="11.125" style="85" bestFit="1" customWidth="1"/>
    <col min="27" max="27" width="13.375" style="86" customWidth="1"/>
    <col min="28" max="28" width="10.625" style="85" hidden="1" customWidth="1"/>
    <col min="29" max="29" width="9.875" style="85" hidden="1" customWidth="1"/>
    <col min="30" max="30" width="10.125" style="85" hidden="1" customWidth="1"/>
    <col min="31" max="34" width="13.375" style="85" hidden="1" customWidth="1"/>
    <col min="35" max="37" width="13.375" style="85" customWidth="1"/>
    <col min="38" max="38" width="44.375" customWidth="1"/>
    <col min="40" max="40" width="16.375" bestFit="1" customWidth="1"/>
    <col min="41" max="41" width="16.375" customWidth="1"/>
    <col min="42" max="42" width="10.125" bestFit="1" customWidth="1"/>
    <col min="43" max="47" width="10.125" customWidth="1"/>
    <col min="48" max="48" width="11.5" bestFit="1" customWidth="1"/>
    <col min="49" max="49" width="10.125" customWidth="1"/>
  </cols>
  <sheetData>
    <row r="1" spans="1:49">
      <c r="C1" s="10" t="s">
        <v>50</v>
      </c>
      <c r="E1" s="10" t="s">
        <v>50</v>
      </c>
      <c r="G1" s="117" t="s">
        <v>29</v>
      </c>
      <c r="H1" s="105"/>
      <c r="I1" s="118" t="s">
        <v>30</v>
      </c>
      <c r="J1" s="119"/>
      <c r="K1" s="120" t="s">
        <v>31</v>
      </c>
      <c r="L1" s="121"/>
      <c r="M1" s="113" t="s">
        <v>84</v>
      </c>
      <c r="N1" s="115"/>
      <c r="R1" s="76" t="s">
        <v>51</v>
      </c>
      <c r="T1" s="113" t="s">
        <v>5</v>
      </c>
      <c r="U1" s="114"/>
      <c r="V1" s="114"/>
      <c r="W1" s="115"/>
      <c r="X1" s="113" t="s">
        <v>92</v>
      </c>
      <c r="Y1" s="114"/>
      <c r="Z1" s="114"/>
      <c r="AA1" s="115"/>
      <c r="AB1" s="113" t="s">
        <v>7</v>
      </c>
      <c r="AC1" s="114"/>
      <c r="AD1" s="114"/>
      <c r="AE1" s="115"/>
      <c r="AF1" s="113" t="s">
        <v>94</v>
      </c>
      <c r="AG1" s="114"/>
      <c r="AH1" s="115"/>
      <c r="AI1" s="116" t="s">
        <v>12</v>
      </c>
      <c r="AJ1" s="116"/>
      <c r="AK1" s="116"/>
    </row>
    <row r="2" spans="1:49" ht="37.5">
      <c r="A2" s="1" t="s">
        <v>3</v>
      </c>
      <c r="B2" s="1" t="s">
        <v>0</v>
      </c>
      <c r="C2" s="67" t="s">
        <v>52</v>
      </c>
      <c r="D2" s="2" t="s">
        <v>20</v>
      </c>
      <c r="E2" s="99" t="s">
        <v>76</v>
      </c>
      <c r="F2" s="92" t="s">
        <v>85</v>
      </c>
      <c r="G2" s="94" t="s">
        <v>77</v>
      </c>
      <c r="H2" s="95" t="s">
        <v>78</v>
      </c>
      <c r="I2" s="97" t="s">
        <v>80</v>
      </c>
      <c r="J2" s="97" t="s">
        <v>81</v>
      </c>
      <c r="K2" s="98" t="s">
        <v>82</v>
      </c>
      <c r="L2" s="98" t="s">
        <v>83</v>
      </c>
      <c r="M2" s="89" t="s">
        <v>32</v>
      </c>
      <c r="N2" s="89" t="s">
        <v>79</v>
      </c>
      <c r="O2" s="56" t="s">
        <v>33</v>
      </c>
      <c r="P2" s="56" t="s">
        <v>34</v>
      </c>
      <c r="Q2" s="56" t="s">
        <v>35</v>
      </c>
      <c r="R2" s="77" t="s">
        <v>36</v>
      </c>
      <c r="S2" s="56" t="s">
        <v>37</v>
      </c>
      <c r="T2" s="79" t="s">
        <v>2</v>
      </c>
      <c r="U2" s="79" t="s">
        <v>1</v>
      </c>
      <c r="V2" s="79" t="s">
        <v>24</v>
      </c>
      <c r="W2" s="80" t="s">
        <v>8</v>
      </c>
      <c r="X2" s="79" t="s">
        <v>1</v>
      </c>
      <c r="Y2" s="79" t="s">
        <v>2</v>
      </c>
      <c r="Z2" s="79" t="s">
        <v>61</v>
      </c>
      <c r="AA2" s="80" t="s">
        <v>8</v>
      </c>
      <c r="AB2" s="79" t="s">
        <v>2</v>
      </c>
      <c r="AC2" s="79" t="s">
        <v>1</v>
      </c>
      <c r="AD2" s="79" t="s">
        <v>18</v>
      </c>
      <c r="AE2" s="79" t="s">
        <v>8</v>
      </c>
      <c r="AF2" s="79" t="s">
        <v>1</v>
      </c>
      <c r="AG2" s="79" t="s">
        <v>2</v>
      </c>
      <c r="AH2" s="79" t="s">
        <v>61</v>
      </c>
      <c r="AI2" s="79" t="s">
        <v>13</v>
      </c>
      <c r="AJ2" s="79" t="s">
        <v>52</v>
      </c>
      <c r="AK2" s="79" t="s">
        <v>15</v>
      </c>
      <c r="AL2" s="19"/>
      <c r="AP2" t="s">
        <v>16</v>
      </c>
      <c r="AQ2" t="s">
        <v>17</v>
      </c>
    </row>
    <row r="3" spans="1:49">
      <c r="A3" s="1">
        <v>2018</v>
      </c>
      <c r="B3" s="1">
        <v>1</v>
      </c>
      <c r="C3" s="68"/>
      <c r="D3" s="26"/>
      <c r="E3" s="100"/>
      <c r="F3" s="93">
        <f>C3+E3</f>
        <v>0</v>
      </c>
      <c r="G3" s="71">
        <v>53000</v>
      </c>
      <c r="H3" s="96">
        <v>11000</v>
      </c>
      <c r="I3" s="78">
        <v>160</v>
      </c>
      <c r="J3" s="78">
        <v>0</v>
      </c>
      <c r="K3" s="45">
        <f t="shared" ref="K3:K17" si="0">G3-I3</f>
        <v>52840</v>
      </c>
      <c r="L3" s="45">
        <f t="shared" ref="L3:L17" si="1">H3-J3</f>
        <v>11000</v>
      </c>
      <c r="M3" s="90">
        <f>C3</f>
        <v>0</v>
      </c>
      <c r="N3" s="90">
        <f>E3</f>
        <v>0</v>
      </c>
      <c r="O3" s="45">
        <f t="shared" ref="O3:O17" si="2">G3*M3+H3*N3</f>
        <v>0</v>
      </c>
      <c r="P3" s="45">
        <f t="shared" ref="P3:P17" si="3">I3*M3+J3*N3</f>
        <v>0</v>
      </c>
      <c r="Q3" s="45">
        <f t="shared" ref="Q3:Q17" si="4">K3*M3+L3*N3</f>
        <v>0</v>
      </c>
      <c r="R3" s="78">
        <v>7420000</v>
      </c>
      <c r="S3" s="45">
        <f t="shared" ref="S3:S17" si="5">Q3-R3</f>
        <v>-7420000</v>
      </c>
      <c r="T3" s="80">
        <f t="shared" ref="T3:T38" si="6">Y3+AB3</f>
        <v>0</v>
      </c>
      <c r="U3" s="80">
        <f t="shared" ref="U3:U38" si="7">X3+AC3</f>
        <v>0</v>
      </c>
      <c r="V3" s="80">
        <f>SUM(T3:U3)</f>
        <v>0</v>
      </c>
      <c r="W3" s="80" t="e">
        <f t="shared" ref="W3:W17" si="8">V3/M3</f>
        <v>#DIV/0!</v>
      </c>
      <c r="X3" s="81"/>
      <c r="Y3" s="81"/>
      <c r="Z3" s="82">
        <f>SUM(X3:Y3)</f>
        <v>0</v>
      </c>
      <c r="AA3" s="80" t="e">
        <f t="shared" ref="AA3:AA38" si="9">Z3/M3</f>
        <v>#DIV/0!</v>
      </c>
      <c r="AB3" s="81">
        <v>0</v>
      </c>
      <c r="AC3" s="81">
        <v>0</v>
      </c>
      <c r="AD3" s="82">
        <f>SUM(AB3:AC3)</f>
        <v>0</v>
      </c>
      <c r="AE3" s="80" t="e">
        <f>AD3/#REF!</f>
        <v>#REF!</v>
      </c>
      <c r="AF3" s="80"/>
      <c r="AG3" s="80"/>
      <c r="AH3" s="80"/>
      <c r="AI3" s="83"/>
      <c r="AJ3" s="83"/>
      <c r="AK3" s="83"/>
      <c r="AL3" s="20"/>
      <c r="AO3">
        <v>201801</v>
      </c>
    </row>
    <row r="4" spans="1:49">
      <c r="A4" s="1">
        <v>2018</v>
      </c>
      <c r="B4" s="1">
        <v>2</v>
      </c>
      <c r="C4" s="68"/>
      <c r="D4" s="26"/>
      <c r="E4" s="100"/>
      <c r="F4" s="93">
        <f t="shared" ref="F4:F38" si="10">C4+E4</f>
        <v>0</v>
      </c>
      <c r="G4" s="71">
        <v>53000</v>
      </c>
      <c r="H4" s="96">
        <v>11000</v>
      </c>
      <c r="I4" s="78">
        <v>160</v>
      </c>
      <c r="J4" s="78">
        <v>0</v>
      </c>
      <c r="K4" s="45">
        <f t="shared" si="0"/>
        <v>52840</v>
      </c>
      <c r="L4" s="45">
        <f t="shared" si="1"/>
        <v>11000</v>
      </c>
      <c r="M4" s="90">
        <f t="shared" ref="M4:M37" si="11">C4</f>
        <v>0</v>
      </c>
      <c r="N4" s="90">
        <f t="shared" ref="N4:N38" si="12">E4</f>
        <v>0</v>
      </c>
      <c r="O4" s="45">
        <f t="shared" si="2"/>
        <v>0</v>
      </c>
      <c r="P4" s="45">
        <f t="shared" si="3"/>
        <v>0</v>
      </c>
      <c r="Q4" s="45">
        <f t="shared" si="4"/>
        <v>0</v>
      </c>
      <c r="R4" s="78">
        <v>7420000</v>
      </c>
      <c r="S4" s="45">
        <f t="shared" si="5"/>
        <v>-7420000</v>
      </c>
      <c r="T4" s="80">
        <f t="shared" si="6"/>
        <v>0</v>
      </c>
      <c r="U4" s="80">
        <f t="shared" si="7"/>
        <v>0</v>
      </c>
      <c r="V4" s="80">
        <f t="shared" ref="V4:V22" si="13">SUM(T4:U4)</f>
        <v>0</v>
      </c>
      <c r="W4" s="80" t="e">
        <f t="shared" si="8"/>
        <v>#DIV/0!</v>
      </c>
      <c r="X4" s="81"/>
      <c r="Y4" s="81"/>
      <c r="Z4" s="82">
        <f t="shared" ref="Z4:Z34" si="14">SUM(X4:Y4)</f>
        <v>0</v>
      </c>
      <c r="AA4" s="80" t="e">
        <f t="shared" si="9"/>
        <v>#DIV/0!</v>
      </c>
      <c r="AB4" s="81">
        <v>0</v>
      </c>
      <c r="AC4" s="81">
        <v>0</v>
      </c>
      <c r="AD4" s="82">
        <f t="shared" ref="AD4:AD22" si="15">SUM(AB4:AC4)</f>
        <v>0</v>
      </c>
      <c r="AE4" s="80" t="e">
        <f>AD4/#REF!</f>
        <v>#REF!</v>
      </c>
      <c r="AF4" s="80"/>
      <c r="AG4" s="80"/>
      <c r="AH4" s="80"/>
      <c r="AI4" s="83"/>
      <c r="AJ4" s="83"/>
      <c r="AK4" s="83"/>
      <c r="AL4" s="20"/>
      <c r="AO4">
        <v>201802</v>
      </c>
    </row>
    <row r="5" spans="1:49">
      <c r="A5" s="1">
        <v>2018</v>
      </c>
      <c r="B5" s="1">
        <v>3</v>
      </c>
      <c r="C5" s="68"/>
      <c r="D5" s="26"/>
      <c r="E5" s="100"/>
      <c r="F5" s="93">
        <f t="shared" si="10"/>
        <v>0</v>
      </c>
      <c r="G5" s="71">
        <v>53000</v>
      </c>
      <c r="H5" s="96">
        <v>11000</v>
      </c>
      <c r="I5" s="78">
        <v>160</v>
      </c>
      <c r="J5" s="78">
        <v>0</v>
      </c>
      <c r="K5" s="45">
        <f t="shared" si="0"/>
        <v>52840</v>
      </c>
      <c r="L5" s="45">
        <f t="shared" si="1"/>
        <v>11000</v>
      </c>
      <c r="M5" s="90">
        <f t="shared" si="11"/>
        <v>0</v>
      </c>
      <c r="N5" s="90">
        <f t="shared" si="12"/>
        <v>0</v>
      </c>
      <c r="O5" s="45">
        <f t="shared" si="2"/>
        <v>0</v>
      </c>
      <c r="P5" s="45">
        <f t="shared" si="3"/>
        <v>0</v>
      </c>
      <c r="Q5" s="45">
        <f t="shared" si="4"/>
        <v>0</v>
      </c>
      <c r="R5" s="78">
        <v>7420000</v>
      </c>
      <c r="S5" s="45">
        <f t="shared" si="5"/>
        <v>-7420000</v>
      </c>
      <c r="T5" s="80">
        <f t="shared" si="6"/>
        <v>0</v>
      </c>
      <c r="U5" s="80">
        <f t="shared" si="7"/>
        <v>0</v>
      </c>
      <c r="V5" s="80">
        <f t="shared" si="13"/>
        <v>0</v>
      </c>
      <c r="W5" s="80" t="e">
        <f t="shared" si="8"/>
        <v>#DIV/0!</v>
      </c>
      <c r="X5" s="81"/>
      <c r="Y5" s="81"/>
      <c r="Z5" s="82">
        <f t="shared" si="14"/>
        <v>0</v>
      </c>
      <c r="AA5" s="80" t="e">
        <f t="shared" si="9"/>
        <v>#DIV/0!</v>
      </c>
      <c r="AB5" s="81">
        <v>0</v>
      </c>
      <c r="AC5" s="81">
        <v>0</v>
      </c>
      <c r="AD5" s="82">
        <f t="shared" si="15"/>
        <v>0</v>
      </c>
      <c r="AE5" s="80" t="e">
        <f>AD5/#REF!</f>
        <v>#REF!</v>
      </c>
      <c r="AF5" s="80"/>
      <c r="AG5" s="80"/>
      <c r="AH5" s="80"/>
      <c r="AI5" s="83"/>
      <c r="AJ5" s="83"/>
      <c r="AK5" s="83"/>
      <c r="AL5" s="20"/>
      <c r="AO5">
        <v>201803</v>
      </c>
      <c r="AP5" s="7"/>
    </row>
    <row r="6" spans="1:49">
      <c r="A6" s="1">
        <v>2018</v>
      </c>
      <c r="B6" s="1">
        <v>4</v>
      </c>
      <c r="C6" s="68"/>
      <c r="D6" s="26"/>
      <c r="E6" s="100"/>
      <c r="F6" s="93">
        <f t="shared" si="10"/>
        <v>0</v>
      </c>
      <c r="G6" s="71">
        <v>53000</v>
      </c>
      <c r="H6" s="96">
        <v>11000</v>
      </c>
      <c r="I6" s="78">
        <v>160</v>
      </c>
      <c r="J6" s="78">
        <v>0</v>
      </c>
      <c r="K6" s="45">
        <f t="shared" si="0"/>
        <v>52840</v>
      </c>
      <c r="L6" s="45">
        <f t="shared" si="1"/>
        <v>11000</v>
      </c>
      <c r="M6" s="90">
        <f t="shared" si="11"/>
        <v>0</v>
      </c>
      <c r="N6" s="90">
        <f t="shared" si="12"/>
        <v>0</v>
      </c>
      <c r="O6" s="45">
        <f t="shared" si="2"/>
        <v>0</v>
      </c>
      <c r="P6" s="45">
        <f t="shared" si="3"/>
        <v>0</v>
      </c>
      <c r="Q6" s="45">
        <f t="shared" si="4"/>
        <v>0</v>
      </c>
      <c r="R6" s="78">
        <v>7420000</v>
      </c>
      <c r="S6" s="45">
        <f t="shared" si="5"/>
        <v>-7420000</v>
      </c>
      <c r="T6" s="80">
        <f t="shared" si="6"/>
        <v>0</v>
      </c>
      <c r="U6" s="80">
        <f t="shared" si="7"/>
        <v>0</v>
      </c>
      <c r="V6" s="80">
        <f t="shared" si="13"/>
        <v>0</v>
      </c>
      <c r="W6" s="80" t="e">
        <f t="shared" si="8"/>
        <v>#DIV/0!</v>
      </c>
      <c r="X6" s="81"/>
      <c r="Y6" s="81"/>
      <c r="Z6" s="82">
        <f t="shared" si="14"/>
        <v>0</v>
      </c>
      <c r="AA6" s="80" t="e">
        <f t="shared" si="9"/>
        <v>#DIV/0!</v>
      </c>
      <c r="AB6" s="81">
        <v>0</v>
      </c>
      <c r="AC6" s="81">
        <v>0</v>
      </c>
      <c r="AD6" s="82">
        <f t="shared" si="15"/>
        <v>0</v>
      </c>
      <c r="AE6" s="80" t="e">
        <f>AD6/#REF!</f>
        <v>#REF!</v>
      </c>
      <c r="AF6" s="80"/>
      <c r="AG6" s="80"/>
      <c r="AH6" s="80"/>
      <c r="AI6" s="83"/>
      <c r="AJ6" s="83"/>
      <c r="AK6" s="83"/>
      <c r="AL6" s="20"/>
      <c r="AO6">
        <v>201804</v>
      </c>
      <c r="AP6" s="7"/>
    </row>
    <row r="7" spans="1:49">
      <c r="A7" s="1">
        <v>2018</v>
      </c>
      <c r="B7" s="1">
        <v>5</v>
      </c>
      <c r="C7" s="68"/>
      <c r="D7" s="26"/>
      <c r="E7" s="100"/>
      <c r="F7" s="93">
        <f t="shared" si="10"/>
        <v>0</v>
      </c>
      <c r="G7" s="71">
        <v>53000</v>
      </c>
      <c r="H7" s="96">
        <v>11000</v>
      </c>
      <c r="I7" s="78">
        <v>160</v>
      </c>
      <c r="J7" s="78">
        <v>0</v>
      </c>
      <c r="K7" s="45">
        <f t="shared" si="0"/>
        <v>52840</v>
      </c>
      <c r="L7" s="45">
        <f t="shared" si="1"/>
        <v>11000</v>
      </c>
      <c r="M7" s="90">
        <f t="shared" si="11"/>
        <v>0</v>
      </c>
      <c r="N7" s="90">
        <f t="shared" si="12"/>
        <v>0</v>
      </c>
      <c r="O7" s="45">
        <f t="shared" si="2"/>
        <v>0</v>
      </c>
      <c r="P7" s="45">
        <f t="shared" si="3"/>
        <v>0</v>
      </c>
      <c r="Q7" s="45">
        <f t="shared" si="4"/>
        <v>0</v>
      </c>
      <c r="R7" s="78">
        <v>7420000</v>
      </c>
      <c r="S7" s="45">
        <f t="shared" si="5"/>
        <v>-7420000</v>
      </c>
      <c r="T7" s="80">
        <f t="shared" si="6"/>
        <v>0</v>
      </c>
      <c r="U7" s="80">
        <f t="shared" si="7"/>
        <v>0</v>
      </c>
      <c r="V7" s="80">
        <f t="shared" si="13"/>
        <v>0</v>
      </c>
      <c r="W7" s="80" t="e">
        <f t="shared" si="8"/>
        <v>#DIV/0!</v>
      </c>
      <c r="X7" s="81"/>
      <c r="Y7" s="81"/>
      <c r="Z7" s="82">
        <f t="shared" si="14"/>
        <v>0</v>
      </c>
      <c r="AA7" s="80" t="e">
        <f t="shared" si="9"/>
        <v>#DIV/0!</v>
      </c>
      <c r="AB7" s="81">
        <v>0</v>
      </c>
      <c r="AC7" s="81">
        <v>0</v>
      </c>
      <c r="AD7" s="82">
        <f t="shared" si="15"/>
        <v>0</v>
      </c>
      <c r="AE7" s="80" t="e">
        <f>AD7/#REF!</f>
        <v>#REF!</v>
      </c>
      <c r="AF7" s="80"/>
      <c r="AG7" s="80"/>
      <c r="AH7" s="80"/>
      <c r="AI7" s="83"/>
      <c r="AJ7" s="83"/>
      <c r="AK7" s="83"/>
      <c r="AL7" s="20"/>
      <c r="AO7">
        <v>201805</v>
      </c>
      <c r="AP7" s="7"/>
    </row>
    <row r="8" spans="1:49">
      <c r="A8" s="1">
        <v>2018</v>
      </c>
      <c r="B8" s="1">
        <v>6</v>
      </c>
      <c r="C8" s="68"/>
      <c r="D8" s="26"/>
      <c r="E8" s="100"/>
      <c r="F8" s="93">
        <f t="shared" si="10"/>
        <v>0</v>
      </c>
      <c r="G8" s="71">
        <v>53000</v>
      </c>
      <c r="H8" s="96">
        <v>11000</v>
      </c>
      <c r="I8" s="78">
        <v>160</v>
      </c>
      <c r="J8" s="78">
        <v>0</v>
      </c>
      <c r="K8" s="45">
        <f t="shared" si="0"/>
        <v>52840</v>
      </c>
      <c r="L8" s="45">
        <f t="shared" si="1"/>
        <v>11000</v>
      </c>
      <c r="M8" s="90">
        <f t="shared" si="11"/>
        <v>0</v>
      </c>
      <c r="N8" s="90">
        <f t="shared" si="12"/>
        <v>0</v>
      </c>
      <c r="O8" s="45">
        <f t="shared" si="2"/>
        <v>0</v>
      </c>
      <c r="P8" s="45">
        <f t="shared" si="3"/>
        <v>0</v>
      </c>
      <c r="Q8" s="45">
        <f t="shared" si="4"/>
        <v>0</v>
      </c>
      <c r="R8" s="78">
        <v>7420000</v>
      </c>
      <c r="S8" s="45">
        <f t="shared" si="5"/>
        <v>-7420000</v>
      </c>
      <c r="T8" s="80">
        <f t="shared" si="6"/>
        <v>0</v>
      </c>
      <c r="U8" s="80">
        <f t="shared" si="7"/>
        <v>0</v>
      </c>
      <c r="V8" s="80">
        <f t="shared" si="13"/>
        <v>0</v>
      </c>
      <c r="W8" s="80" t="e">
        <f t="shared" si="8"/>
        <v>#DIV/0!</v>
      </c>
      <c r="X8" s="81"/>
      <c r="Y8" s="81"/>
      <c r="Z8" s="82">
        <f t="shared" si="14"/>
        <v>0</v>
      </c>
      <c r="AA8" s="80" t="e">
        <f t="shared" si="9"/>
        <v>#DIV/0!</v>
      </c>
      <c r="AB8" s="81">
        <v>0</v>
      </c>
      <c r="AC8" s="81">
        <v>0</v>
      </c>
      <c r="AD8" s="82">
        <f t="shared" si="15"/>
        <v>0</v>
      </c>
      <c r="AE8" s="80" t="e">
        <f>AD8/#REF!</f>
        <v>#REF!</v>
      </c>
      <c r="AF8" s="80"/>
      <c r="AG8" s="80"/>
      <c r="AH8" s="80"/>
      <c r="AI8" s="83"/>
      <c r="AJ8" s="83"/>
      <c r="AK8" s="83"/>
      <c r="AL8" s="20"/>
      <c r="AO8">
        <v>201806</v>
      </c>
      <c r="AP8" s="7"/>
      <c r="AQ8" s="7"/>
    </row>
    <row r="9" spans="1:49">
      <c r="A9" s="1">
        <v>2018</v>
      </c>
      <c r="B9" s="1">
        <v>7</v>
      </c>
      <c r="C9" s="68"/>
      <c r="D9" s="26"/>
      <c r="E9" s="100"/>
      <c r="F9" s="93">
        <f t="shared" si="10"/>
        <v>0</v>
      </c>
      <c r="G9" s="71">
        <v>53000</v>
      </c>
      <c r="H9" s="96">
        <v>11000</v>
      </c>
      <c r="I9" s="78">
        <v>160</v>
      </c>
      <c r="J9" s="78">
        <v>0</v>
      </c>
      <c r="K9" s="45">
        <f t="shared" si="0"/>
        <v>52840</v>
      </c>
      <c r="L9" s="45">
        <f t="shared" si="1"/>
        <v>11000</v>
      </c>
      <c r="M9" s="90">
        <f t="shared" si="11"/>
        <v>0</v>
      </c>
      <c r="N9" s="90">
        <f t="shared" si="12"/>
        <v>0</v>
      </c>
      <c r="O9" s="45">
        <f t="shared" si="2"/>
        <v>0</v>
      </c>
      <c r="P9" s="45">
        <f t="shared" si="3"/>
        <v>0</v>
      </c>
      <c r="Q9" s="45">
        <f t="shared" si="4"/>
        <v>0</v>
      </c>
      <c r="R9" s="78">
        <v>7420000</v>
      </c>
      <c r="S9" s="45">
        <f t="shared" si="5"/>
        <v>-7420000</v>
      </c>
      <c r="T9" s="80">
        <f t="shared" si="6"/>
        <v>0</v>
      </c>
      <c r="U9" s="80">
        <f t="shared" si="7"/>
        <v>0</v>
      </c>
      <c r="V9" s="80">
        <f t="shared" si="13"/>
        <v>0</v>
      </c>
      <c r="W9" s="80" t="e">
        <f t="shared" si="8"/>
        <v>#DIV/0!</v>
      </c>
      <c r="X9" s="81"/>
      <c r="Y9" s="81"/>
      <c r="Z9" s="82">
        <f t="shared" si="14"/>
        <v>0</v>
      </c>
      <c r="AA9" s="80" t="e">
        <f t="shared" si="9"/>
        <v>#DIV/0!</v>
      </c>
      <c r="AB9" s="81">
        <v>0</v>
      </c>
      <c r="AC9" s="81">
        <v>0</v>
      </c>
      <c r="AD9" s="82">
        <f t="shared" si="15"/>
        <v>0</v>
      </c>
      <c r="AE9" s="80" t="e">
        <f>AD9/#REF!</f>
        <v>#REF!</v>
      </c>
      <c r="AF9" s="80"/>
      <c r="AG9" s="80"/>
      <c r="AH9" s="80"/>
      <c r="AI9" s="83"/>
      <c r="AJ9" s="83"/>
      <c r="AK9" s="83"/>
      <c r="AL9" s="20"/>
      <c r="AO9">
        <v>201807</v>
      </c>
      <c r="AP9" s="7"/>
      <c r="AQ9" s="7"/>
    </row>
    <row r="10" spans="1:49">
      <c r="A10" s="1">
        <v>2018</v>
      </c>
      <c r="B10" s="1">
        <v>8</v>
      </c>
      <c r="C10" s="68"/>
      <c r="D10" s="26"/>
      <c r="E10" s="100"/>
      <c r="F10" s="93">
        <f t="shared" si="10"/>
        <v>0</v>
      </c>
      <c r="G10" s="71">
        <v>53000</v>
      </c>
      <c r="H10" s="96">
        <v>11000</v>
      </c>
      <c r="I10" s="78">
        <v>160</v>
      </c>
      <c r="J10" s="78">
        <v>0</v>
      </c>
      <c r="K10" s="45">
        <f t="shared" si="0"/>
        <v>52840</v>
      </c>
      <c r="L10" s="45">
        <f t="shared" si="1"/>
        <v>11000</v>
      </c>
      <c r="M10" s="90">
        <f t="shared" si="11"/>
        <v>0</v>
      </c>
      <c r="N10" s="90">
        <f t="shared" si="12"/>
        <v>0</v>
      </c>
      <c r="O10" s="45">
        <f t="shared" si="2"/>
        <v>0</v>
      </c>
      <c r="P10" s="45">
        <f t="shared" si="3"/>
        <v>0</v>
      </c>
      <c r="Q10" s="45">
        <f t="shared" si="4"/>
        <v>0</v>
      </c>
      <c r="R10" s="78">
        <v>7420000</v>
      </c>
      <c r="S10" s="45">
        <f t="shared" si="5"/>
        <v>-7420000</v>
      </c>
      <c r="T10" s="80">
        <f t="shared" si="6"/>
        <v>0</v>
      </c>
      <c r="U10" s="80">
        <f t="shared" si="7"/>
        <v>0</v>
      </c>
      <c r="V10" s="80">
        <f t="shared" si="13"/>
        <v>0</v>
      </c>
      <c r="W10" s="80" t="e">
        <f t="shared" si="8"/>
        <v>#DIV/0!</v>
      </c>
      <c r="X10" s="81"/>
      <c r="Y10" s="81"/>
      <c r="Z10" s="82">
        <f t="shared" si="14"/>
        <v>0</v>
      </c>
      <c r="AA10" s="80" t="e">
        <f t="shared" si="9"/>
        <v>#DIV/0!</v>
      </c>
      <c r="AB10" s="81">
        <v>0</v>
      </c>
      <c r="AC10" s="81">
        <v>0</v>
      </c>
      <c r="AD10" s="82">
        <f t="shared" si="15"/>
        <v>0</v>
      </c>
      <c r="AE10" s="80" t="e">
        <f>AD10/#REF!</f>
        <v>#REF!</v>
      </c>
      <c r="AF10" s="80"/>
      <c r="AG10" s="80"/>
      <c r="AH10" s="80"/>
      <c r="AI10" s="83"/>
      <c r="AJ10" s="83"/>
      <c r="AK10" s="83"/>
      <c r="AL10" s="20"/>
      <c r="AO10">
        <v>201808</v>
      </c>
      <c r="AP10" s="7">
        <f t="shared" ref="AP10:AP38" si="16">AVERAGE(M8:M10)</f>
        <v>0</v>
      </c>
      <c r="AQ10" s="7"/>
    </row>
    <row r="11" spans="1:49">
      <c r="A11" s="1">
        <v>2018</v>
      </c>
      <c r="B11" s="1">
        <v>9</v>
      </c>
      <c r="C11" s="68"/>
      <c r="D11" s="26"/>
      <c r="E11" s="100"/>
      <c r="F11" s="93">
        <f t="shared" si="10"/>
        <v>0</v>
      </c>
      <c r="G11" s="71">
        <v>53000</v>
      </c>
      <c r="H11" s="96">
        <v>11000</v>
      </c>
      <c r="I11" s="78">
        <v>160</v>
      </c>
      <c r="J11" s="78">
        <v>0</v>
      </c>
      <c r="K11" s="45">
        <f t="shared" si="0"/>
        <v>52840</v>
      </c>
      <c r="L11" s="45">
        <f t="shared" si="1"/>
        <v>11000</v>
      </c>
      <c r="M11" s="90">
        <f t="shared" si="11"/>
        <v>0</v>
      </c>
      <c r="N11" s="90">
        <f t="shared" si="12"/>
        <v>0</v>
      </c>
      <c r="O11" s="45">
        <f t="shared" si="2"/>
        <v>0</v>
      </c>
      <c r="P11" s="45">
        <f t="shared" si="3"/>
        <v>0</v>
      </c>
      <c r="Q11" s="45">
        <f t="shared" si="4"/>
        <v>0</v>
      </c>
      <c r="R11" s="78">
        <v>7420000</v>
      </c>
      <c r="S11" s="45">
        <f t="shared" si="5"/>
        <v>-7420000</v>
      </c>
      <c r="T11" s="80">
        <f t="shared" si="6"/>
        <v>0</v>
      </c>
      <c r="U11" s="80">
        <f t="shared" si="7"/>
        <v>0</v>
      </c>
      <c r="V11" s="80">
        <f t="shared" si="13"/>
        <v>0</v>
      </c>
      <c r="W11" s="80" t="e">
        <f t="shared" si="8"/>
        <v>#DIV/0!</v>
      </c>
      <c r="X11" s="81"/>
      <c r="Y11" s="81"/>
      <c r="Z11" s="82">
        <f t="shared" si="14"/>
        <v>0</v>
      </c>
      <c r="AA11" s="80" t="e">
        <f t="shared" si="9"/>
        <v>#DIV/0!</v>
      </c>
      <c r="AB11" s="81">
        <v>0</v>
      </c>
      <c r="AC11" s="81">
        <v>0</v>
      </c>
      <c r="AD11" s="82">
        <f t="shared" si="15"/>
        <v>0</v>
      </c>
      <c r="AE11" s="80" t="e">
        <f>AD11/#REF!</f>
        <v>#REF!</v>
      </c>
      <c r="AF11" s="80"/>
      <c r="AG11" s="80"/>
      <c r="AH11" s="80"/>
      <c r="AI11" s="83"/>
      <c r="AJ11" s="83"/>
      <c r="AK11" s="83"/>
      <c r="AL11" s="20"/>
      <c r="AN11" s="6"/>
      <c r="AO11">
        <v>201809</v>
      </c>
      <c r="AP11" s="7">
        <f t="shared" si="16"/>
        <v>0</v>
      </c>
      <c r="AQ11" s="7"/>
      <c r="AR11" s="6"/>
      <c r="AS11" s="6"/>
      <c r="AT11" s="6"/>
      <c r="AU11" s="6"/>
      <c r="AV11" s="6"/>
      <c r="AW11" s="6"/>
    </row>
    <row r="12" spans="1:49">
      <c r="A12" s="1">
        <v>2018</v>
      </c>
      <c r="B12" s="1">
        <v>10</v>
      </c>
      <c r="C12" s="68"/>
      <c r="D12" s="26"/>
      <c r="E12" s="100"/>
      <c r="F12" s="93">
        <f t="shared" si="10"/>
        <v>0</v>
      </c>
      <c r="G12" s="71">
        <v>53000</v>
      </c>
      <c r="H12" s="96">
        <v>11000</v>
      </c>
      <c r="I12" s="78">
        <v>160</v>
      </c>
      <c r="J12" s="78">
        <v>0</v>
      </c>
      <c r="K12" s="45">
        <f t="shared" si="0"/>
        <v>52840</v>
      </c>
      <c r="L12" s="45">
        <f t="shared" si="1"/>
        <v>11000</v>
      </c>
      <c r="M12" s="90">
        <f t="shared" si="11"/>
        <v>0</v>
      </c>
      <c r="N12" s="90">
        <f t="shared" si="12"/>
        <v>0</v>
      </c>
      <c r="O12" s="45">
        <f t="shared" si="2"/>
        <v>0</v>
      </c>
      <c r="P12" s="45">
        <f t="shared" si="3"/>
        <v>0</v>
      </c>
      <c r="Q12" s="45">
        <f t="shared" si="4"/>
        <v>0</v>
      </c>
      <c r="R12" s="78">
        <v>7420000</v>
      </c>
      <c r="S12" s="45">
        <f t="shared" si="5"/>
        <v>-7420000</v>
      </c>
      <c r="T12" s="80">
        <f t="shared" si="6"/>
        <v>0</v>
      </c>
      <c r="U12" s="80">
        <f t="shared" si="7"/>
        <v>0</v>
      </c>
      <c r="V12" s="80">
        <f t="shared" si="13"/>
        <v>0</v>
      </c>
      <c r="W12" s="80" t="e">
        <f t="shared" si="8"/>
        <v>#DIV/0!</v>
      </c>
      <c r="X12" s="81"/>
      <c r="Y12" s="81"/>
      <c r="Z12" s="82">
        <f t="shared" si="14"/>
        <v>0</v>
      </c>
      <c r="AA12" s="80" t="e">
        <f t="shared" si="9"/>
        <v>#DIV/0!</v>
      </c>
      <c r="AB12" s="81">
        <v>0</v>
      </c>
      <c r="AC12" s="81">
        <v>0</v>
      </c>
      <c r="AD12" s="82">
        <f t="shared" si="15"/>
        <v>0</v>
      </c>
      <c r="AE12" s="80" t="e">
        <f>AD12/#REF!</f>
        <v>#REF!</v>
      </c>
      <c r="AF12" s="80"/>
      <c r="AG12" s="80"/>
      <c r="AH12" s="80"/>
      <c r="AI12" s="83"/>
      <c r="AJ12" s="83"/>
      <c r="AK12" s="83"/>
      <c r="AL12" s="20"/>
      <c r="AN12" s="6"/>
      <c r="AO12">
        <v>201810</v>
      </c>
      <c r="AP12" s="7">
        <f t="shared" si="16"/>
        <v>0</v>
      </c>
      <c r="AQ12" s="7"/>
    </row>
    <row r="13" spans="1:49">
      <c r="A13" s="1">
        <v>2018</v>
      </c>
      <c r="B13" s="1">
        <v>11</v>
      </c>
      <c r="C13" s="68"/>
      <c r="D13" s="26"/>
      <c r="E13" s="100"/>
      <c r="F13" s="93">
        <f t="shared" si="10"/>
        <v>0</v>
      </c>
      <c r="G13" s="71"/>
      <c r="H13" s="96"/>
      <c r="I13" s="78">
        <v>160</v>
      </c>
      <c r="J13" s="78">
        <v>0</v>
      </c>
      <c r="K13" s="45">
        <f t="shared" si="0"/>
        <v>-160</v>
      </c>
      <c r="L13" s="45">
        <f t="shared" si="1"/>
        <v>0</v>
      </c>
      <c r="M13" s="90">
        <f t="shared" si="11"/>
        <v>0</v>
      </c>
      <c r="N13" s="90">
        <f t="shared" si="12"/>
        <v>0</v>
      </c>
      <c r="O13" s="45">
        <f t="shared" si="2"/>
        <v>0</v>
      </c>
      <c r="P13" s="45">
        <f t="shared" si="3"/>
        <v>0</v>
      </c>
      <c r="Q13" s="45">
        <f t="shared" si="4"/>
        <v>0</v>
      </c>
      <c r="R13" s="78">
        <v>7420000</v>
      </c>
      <c r="S13" s="45">
        <f t="shared" si="5"/>
        <v>-7420000</v>
      </c>
      <c r="T13" s="80">
        <f t="shared" si="6"/>
        <v>0</v>
      </c>
      <c r="U13" s="80">
        <f t="shared" si="7"/>
        <v>0</v>
      </c>
      <c r="V13" s="80">
        <f t="shared" si="13"/>
        <v>0</v>
      </c>
      <c r="W13" s="80" t="e">
        <f t="shared" si="8"/>
        <v>#DIV/0!</v>
      </c>
      <c r="X13" s="81"/>
      <c r="Y13" s="81"/>
      <c r="Z13" s="82">
        <f t="shared" si="14"/>
        <v>0</v>
      </c>
      <c r="AA13" s="80" t="e">
        <f t="shared" si="9"/>
        <v>#DIV/0!</v>
      </c>
      <c r="AB13" s="81">
        <v>0</v>
      </c>
      <c r="AC13" s="81">
        <v>0</v>
      </c>
      <c r="AD13" s="82">
        <f t="shared" si="15"/>
        <v>0</v>
      </c>
      <c r="AE13" s="80" t="e">
        <f>AD13/#REF!</f>
        <v>#REF!</v>
      </c>
      <c r="AF13" s="80"/>
      <c r="AG13" s="80"/>
      <c r="AH13" s="80"/>
      <c r="AI13" s="83"/>
      <c r="AJ13" s="83"/>
      <c r="AK13" s="83"/>
      <c r="AL13" s="20"/>
      <c r="AN13" s="6"/>
      <c r="AO13">
        <v>201811</v>
      </c>
      <c r="AP13" s="7">
        <f t="shared" si="16"/>
        <v>0</v>
      </c>
      <c r="AQ13" s="7">
        <f t="shared" ref="AQ13:AQ38" si="17">AVERAGE(M8:M13)</f>
        <v>0</v>
      </c>
    </row>
    <row r="14" spans="1:49">
      <c r="A14" s="1">
        <v>2018</v>
      </c>
      <c r="B14" s="1">
        <v>12</v>
      </c>
      <c r="C14" s="68"/>
      <c r="D14" s="26"/>
      <c r="E14" s="100"/>
      <c r="F14" s="93">
        <f t="shared" si="10"/>
        <v>0</v>
      </c>
      <c r="G14" s="71"/>
      <c r="H14" s="96"/>
      <c r="I14" s="78">
        <v>160</v>
      </c>
      <c r="J14" s="78">
        <v>0</v>
      </c>
      <c r="K14" s="45">
        <f t="shared" si="0"/>
        <v>-160</v>
      </c>
      <c r="L14" s="45">
        <f t="shared" si="1"/>
        <v>0</v>
      </c>
      <c r="M14" s="90">
        <f t="shared" si="11"/>
        <v>0</v>
      </c>
      <c r="N14" s="90">
        <f t="shared" si="12"/>
        <v>0</v>
      </c>
      <c r="O14" s="45">
        <f t="shared" si="2"/>
        <v>0</v>
      </c>
      <c r="P14" s="45">
        <f t="shared" si="3"/>
        <v>0</v>
      </c>
      <c r="Q14" s="45">
        <f t="shared" si="4"/>
        <v>0</v>
      </c>
      <c r="R14" s="78">
        <v>7420000</v>
      </c>
      <c r="S14" s="45">
        <f t="shared" si="5"/>
        <v>-7420000</v>
      </c>
      <c r="T14" s="80">
        <f t="shared" si="6"/>
        <v>0</v>
      </c>
      <c r="U14" s="80">
        <f t="shared" si="7"/>
        <v>0</v>
      </c>
      <c r="V14" s="80">
        <f t="shared" si="13"/>
        <v>0</v>
      </c>
      <c r="W14" s="80" t="e">
        <f t="shared" si="8"/>
        <v>#DIV/0!</v>
      </c>
      <c r="X14" s="81"/>
      <c r="Y14" s="81"/>
      <c r="Z14" s="82">
        <f t="shared" si="14"/>
        <v>0</v>
      </c>
      <c r="AA14" s="80" t="e">
        <f t="shared" si="9"/>
        <v>#DIV/0!</v>
      </c>
      <c r="AB14" s="81">
        <v>0</v>
      </c>
      <c r="AC14" s="81">
        <v>0</v>
      </c>
      <c r="AD14" s="82">
        <f t="shared" si="15"/>
        <v>0</v>
      </c>
      <c r="AE14" s="80" t="e">
        <f>AD14/#REF!</f>
        <v>#REF!</v>
      </c>
      <c r="AF14" s="80"/>
      <c r="AG14" s="80"/>
      <c r="AH14" s="80"/>
      <c r="AI14" s="80"/>
      <c r="AJ14" s="28"/>
      <c r="AK14" s="80"/>
      <c r="AL14" s="20"/>
      <c r="AN14" s="6"/>
      <c r="AO14">
        <v>201812</v>
      </c>
      <c r="AP14" s="7">
        <f t="shared" si="16"/>
        <v>0</v>
      </c>
      <c r="AQ14" s="7">
        <f t="shared" si="17"/>
        <v>0</v>
      </c>
    </row>
    <row r="15" spans="1:49">
      <c r="A15" s="1">
        <v>2019</v>
      </c>
      <c r="B15" s="1">
        <v>1</v>
      </c>
      <c r="C15" s="68"/>
      <c r="D15" s="32" t="e">
        <f t="shared" ref="D15:D38" si="18">C15/C3</f>
        <v>#DIV/0!</v>
      </c>
      <c r="E15" s="100"/>
      <c r="F15" s="93">
        <f t="shared" si="10"/>
        <v>0</v>
      </c>
      <c r="G15" s="71"/>
      <c r="H15" s="96"/>
      <c r="I15" s="78">
        <v>160</v>
      </c>
      <c r="J15" s="78">
        <v>0</v>
      </c>
      <c r="K15" s="45">
        <f t="shared" si="0"/>
        <v>-160</v>
      </c>
      <c r="L15" s="45">
        <f t="shared" si="1"/>
        <v>0</v>
      </c>
      <c r="M15" s="90">
        <f t="shared" si="11"/>
        <v>0</v>
      </c>
      <c r="N15" s="90">
        <f t="shared" si="12"/>
        <v>0</v>
      </c>
      <c r="O15" s="45">
        <f t="shared" si="2"/>
        <v>0</v>
      </c>
      <c r="P15" s="45">
        <f t="shared" si="3"/>
        <v>0</v>
      </c>
      <c r="Q15" s="45">
        <f t="shared" si="4"/>
        <v>0</v>
      </c>
      <c r="R15" s="78">
        <v>7420000</v>
      </c>
      <c r="S15" s="45">
        <f t="shared" si="5"/>
        <v>-7420000</v>
      </c>
      <c r="T15" s="80">
        <f t="shared" si="6"/>
        <v>178554</v>
      </c>
      <c r="U15" s="80">
        <f t="shared" si="7"/>
        <v>130648</v>
      </c>
      <c r="V15" s="80">
        <f t="shared" si="13"/>
        <v>309202</v>
      </c>
      <c r="W15" s="80" t="e">
        <f t="shared" si="8"/>
        <v>#DIV/0!</v>
      </c>
      <c r="X15" s="81"/>
      <c r="Y15" s="81"/>
      <c r="Z15" s="82">
        <f t="shared" si="14"/>
        <v>0</v>
      </c>
      <c r="AA15" s="80" t="e">
        <f t="shared" si="9"/>
        <v>#DIV/0!</v>
      </c>
      <c r="AB15" s="81">
        <v>178554</v>
      </c>
      <c r="AC15" s="81">
        <v>130648</v>
      </c>
      <c r="AD15" s="82">
        <f t="shared" si="15"/>
        <v>309202</v>
      </c>
      <c r="AE15" s="80" t="e">
        <f>AD15/#REF!</f>
        <v>#REF!</v>
      </c>
      <c r="AF15" s="80"/>
      <c r="AG15" s="80"/>
      <c r="AH15" s="80"/>
      <c r="AI15" s="80"/>
      <c r="AJ15" s="28"/>
      <c r="AK15" s="80"/>
      <c r="AL15" s="20"/>
      <c r="AN15" s="6"/>
      <c r="AO15">
        <v>201901</v>
      </c>
      <c r="AP15" s="7">
        <f t="shared" si="16"/>
        <v>0</v>
      </c>
      <c r="AQ15" s="7">
        <f t="shared" si="17"/>
        <v>0</v>
      </c>
      <c r="AR15" s="7"/>
      <c r="AS15" s="7"/>
      <c r="AT15" s="7"/>
      <c r="AU15" s="7"/>
      <c r="AV15" s="7"/>
      <c r="AW15" s="7"/>
    </row>
    <row r="16" spans="1:49">
      <c r="A16" s="1">
        <v>2019</v>
      </c>
      <c r="B16" s="1">
        <v>2</v>
      </c>
      <c r="C16" s="68"/>
      <c r="D16" s="32" t="e">
        <f t="shared" si="18"/>
        <v>#DIV/0!</v>
      </c>
      <c r="E16" s="100"/>
      <c r="F16" s="93">
        <f t="shared" si="10"/>
        <v>0</v>
      </c>
      <c r="G16" s="71"/>
      <c r="H16" s="96"/>
      <c r="I16" s="78">
        <v>160</v>
      </c>
      <c r="J16" s="78">
        <v>0</v>
      </c>
      <c r="K16" s="45">
        <f t="shared" si="0"/>
        <v>-160</v>
      </c>
      <c r="L16" s="45">
        <f t="shared" si="1"/>
        <v>0</v>
      </c>
      <c r="M16" s="90">
        <f t="shared" si="11"/>
        <v>0</v>
      </c>
      <c r="N16" s="90">
        <f t="shared" si="12"/>
        <v>0</v>
      </c>
      <c r="O16" s="45">
        <f t="shared" si="2"/>
        <v>0</v>
      </c>
      <c r="P16" s="45">
        <f t="shared" si="3"/>
        <v>0</v>
      </c>
      <c r="Q16" s="45">
        <f t="shared" si="4"/>
        <v>0</v>
      </c>
      <c r="R16" s="78">
        <v>7420000</v>
      </c>
      <c r="S16" s="45">
        <f t="shared" si="5"/>
        <v>-7420000</v>
      </c>
      <c r="T16" s="80">
        <f t="shared" si="6"/>
        <v>352538</v>
      </c>
      <c r="U16" s="80">
        <f t="shared" si="7"/>
        <v>243426</v>
      </c>
      <c r="V16" s="80">
        <f t="shared" si="13"/>
        <v>595964</v>
      </c>
      <c r="W16" s="80" t="e">
        <f t="shared" si="8"/>
        <v>#DIV/0!</v>
      </c>
      <c r="X16" s="81"/>
      <c r="Y16" s="81"/>
      <c r="Z16" s="82">
        <f t="shared" si="14"/>
        <v>0</v>
      </c>
      <c r="AA16" s="80" t="e">
        <f t="shared" si="9"/>
        <v>#DIV/0!</v>
      </c>
      <c r="AB16" s="81">
        <v>352538</v>
      </c>
      <c r="AC16" s="81">
        <v>243426</v>
      </c>
      <c r="AD16" s="82">
        <f t="shared" si="15"/>
        <v>595964</v>
      </c>
      <c r="AE16" s="80" t="e">
        <f>AD16/#REF!</f>
        <v>#REF!</v>
      </c>
      <c r="AF16" s="80"/>
      <c r="AG16" s="80"/>
      <c r="AH16" s="80"/>
      <c r="AI16" s="80"/>
      <c r="AJ16" s="28"/>
      <c r="AK16" s="80"/>
      <c r="AL16" s="20"/>
      <c r="AO16">
        <v>201902</v>
      </c>
      <c r="AP16" s="7">
        <f t="shared" si="16"/>
        <v>0</v>
      </c>
      <c r="AQ16" s="7">
        <f t="shared" si="17"/>
        <v>0</v>
      </c>
      <c r="AR16" s="7"/>
      <c r="AS16" s="7"/>
      <c r="AT16" s="7"/>
      <c r="AU16" s="7"/>
      <c r="AV16" s="7"/>
      <c r="AW16" s="7"/>
    </row>
    <row r="17" spans="1:49">
      <c r="A17" s="1">
        <v>2019</v>
      </c>
      <c r="B17" s="1">
        <v>3</v>
      </c>
      <c r="C17" s="68"/>
      <c r="D17" s="32" t="e">
        <f t="shared" si="18"/>
        <v>#DIV/0!</v>
      </c>
      <c r="E17" s="100"/>
      <c r="F17" s="93">
        <f t="shared" si="10"/>
        <v>0</v>
      </c>
      <c r="G17" s="71"/>
      <c r="H17" s="96"/>
      <c r="I17" s="78">
        <v>160</v>
      </c>
      <c r="J17" s="78">
        <v>0</v>
      </c>
      <c r="K17" s="45">
        <f t="shared" si="0"/>
        <v>-160</v>
      </c>
      <c r="L17" s="45">
        <f t="shared" si="1"/>
        <v>0</v>
      </c>
      <c r="M17" s="90">
        <f t="shared" si="11"/>
        <v>0</v>
      </c>
      <c r="N17" s="90">
        <f t="shared" si="12"/>
        <v>0</v>
      </c>
      <c r="O17" s="45">
        <f t="shared" si="2"/>
        <v>0</v>
      </c>
      <c r="P17" s="45">
        <f t="shared" si="3"/>
        <v>0</v>
      </c>
      <c r="Q17" s="45">
        <f t="shared" si="4"/>
        <v>0</v>
      </c>
      <c r="R17" s="78">
        <v>7420000</v>
      </c>
      <c r="S17" s="45">
        <f t="shared" si="5"/>
        <v>-7420000</v>
      </c>
      <c r="T17" s="80">
        <f t="shared" si="6"/>
        <v>464149</v>
      </c>
      <c r="U17" s="80">
        <f t="shared" si="7"/>
        <v>376073</v>
      </c>
      <c r="V17" s="80">
        <f t="shared" si="13"/>
        <v>840222</v>
      </c>
      <c r="W17" s="80" t="e">
        <f t="shared" si="8"/>
        <v>#DIV/0!</v>
      </c>
      <c r="X17" s="81"/>
      <c r="Y17" s="81"/>
      <c r="Z17" s="82">
        <f t="shared" si="14"/>
        <v>0</v>
      </c>
      <c r="AA17" s="80" t="e">
        <f t="shared" si="9"/>
        <v>#DIV/0!</v>
      </c>
      <c r="AB17" s="81">
        <v>464149</v>
      </c>
      <c r="AC17" s="81">
        <v>376073</v>
      </c>
      <c r="AD17" s="82">
        <f t="shared" si="15"/>
        <v>840222</v>
      </c>
      <c r="AE17" s="80" t="e">
        <f>AD17/#REF!</f>
        <v>#REF!</v>
      </c>
      <c r="AF17" s="80"/>
      <c r="AG17" s="80"/>
      <c r="AH17" s="80"/>
      <c r="AI17" s="80"/>
      <c r="AJ17" s="28"/>
      <c r="AK17" s="80"/>
      <c r="AL17" s="20"/>
      <c r="AO17">
        <v>201903</v>
      </c>
      <c r="AP17" s="7">
        <f t="shared" si="16"/>
        <v>0</v>
      </c>
      <c r="AQ17" s="7">
        <f t="shared" si="17"/>
        <v>0</v>
      </c>
      <c r="AR17" s="8"/>
      <c r="AS17" s="8"/>
      <c r="AT17" s="8"/>
      <c r="AU17" s="8"/>
      <c r="AV17" s="8"/>
      <c r="AW17" s="8"/>
    </row>
    <row r="18" spans="1:49">
      <c r="A18" s="1">
        <v>2019</v>
      </c>
      <c r="B18" s="1">
        <v>4</v>
      </c>
      <c r="C18" s="68"/>
      <c r="D18" s="34" t="e">
        <f t="shared" si="18"/>
        <v>#DIV/0!</v>
      </c>
      <c r="E18" s="100"/>
      <c r="F18" s="93">
        <f t="shared" si="10"/>
        <v>0</v>
      </c>
      <c r="G18" s="71"/>
      <c r="H18" s="96"/>
      <c r="I18" s="78">
        <v>160</v>
      </c>
      <c r="J18" s="78">
        <v>0</v>
      </c>
      <c r="K18" s="45">
        <f>G18-I18</f>
        <v>-160</v>
      </c>
      <c r="L18" s="45">
        <f>H18-J18</f>
        <v>0</v>
      </c>
      <c r="M18" s="90">
        <f t="shared" si="11"/>
        <v>0</v>
      </c>
      <c r="N18" s="90">
        <f t="shared" si="12"/>
        <v>0</v>
      </c>
      <c r="O18" s="45">
        <f>G18*M18+H18*N18</f>
        <v>0</v>
      </c>
      <c r="P18" s="45">
        <f>I18*M18+J18*N18</f>
        <v>0</v>
      </c>
      <c r="Q18" s="45">
        <f>K18*M18+L18*N18</f>
        <v>0</v>
      </c>
      <c r="R18" s="78">
        <v>7420000</v>
      </c>
      <c r="S18" s="45">
        <f>Q18-R18</f>
        <v>-7420000</v>
      </c>
      <c r="T18" s="80">
        <f t="shared" si="6"/>
        <v>499084</v>
      </c>
      <c r="U18" s="80">
        <f t="shared" si="7"/>
        <v>337516</v>
      </c>
      <c r="V18" s="80">
        <f t="shared" si="13"/>
        <v>836600</v>
      </c>
      <c r="W18" s="80" t="e">
        <f>V18/M18</f>
        <v>#DIV/0!</v>
      </c>
      <c r="X18" s="81"/>
      <c r="Y18" s="81"/>
      <c r="Z18" s="82">
        <f t="shared" si="14"/>
        <v>0</v>
      </c>
      <c r="AA18" s="80" t="e">
        <f t="shared" si="9"/>
        <v>#DIV/0!</v>
      </c>
      <c r="AB18" s="81">
        <v>499084</v>
      </c>
      <c r="AC18" s="81">
        <v>337516</v>
      </c>
      <c r="AD18" s="82">
        <f t="shared" si="15"/>
        <v>836600</v>
      </c>
      <c r="AE18" s="80" t="e">
        <f>AD18/#REF!</f>
        <v>#REF!</v>
      </c>
      <c r="AF18" s="80"/>
      <c r="AG18" s="80"/>
      <c r="AH18" s="80"/>
      <c r="AI18" s="80"/>
      <c r="AJ18" s="28"/>
      <c r="AK18" s="80"/>
      <c r="AL18" s="20"/>
      <c r="AO18">
        <v>201904</v>
      </c>
      <c r="AP18" s="7">
        <f t="shared" si="16"/>
        <v>0</v>
      </c>
      <c r="AQ18" s="7">
        <f t="shared" si="17"/>
        <v>0</v>
      </c>
      <c r="AR18" s="9"/>
      <c r="AS18" s="9"/>
      <c r="AT18" s="9"/>
      <c r="AU18" s="9"/>
      <c r="AV18" s="9"/>
    </row>
    <row r="19" spans="1:49">
      <c r="A19" s="1">
        <v>2019</v>
      </c>
      <c r="B19" s="1">
        <v>5</v>
      </c>
      <c r="C19" s="68"/>
      <c r="D19" s="34" t="e">
        <f t="shared" si="18"/>
        <v>#DIV/0!</v>
      </c>
      <c r="E19" s="100"/>
      <c r="F19" s="93">
        <f t="shared" si="10"/>
        <v>0</v>
      </c>
      <c r="G19" s="71"/>
      <c r="H19" s="96"/>
      <c r="I19" s="78">
        <v>160</v>
      </c>
      <c r="J19" s="78">
        <v>0</v>
      </c>
      <c r="K19" s="45">
        <f t="shared" ref="K19:L37" si="19">G19-I19</f>
        <v>-160</v>
      </c>
      <c r="L19" s="45">
        <f t="shared" si="19"/>
        <v>0</v>
      </c>
      <c r="M19" s="90">
        <f t="shared" si="11"/>
        <v>0</v>
      </c>
      <c r="N19" s="90">
        <f t="shared" si="12"/>
        <v>0</v>
      </c>
      <c r="O19" s="45">
        <f t="shared" ref="O19:O37" si="20">G19*M19+H19*N19</f>
        <v>0</v>
      </c>
      <c r="P19" s="45">
        <f t="shared" ref="P19:P37" si="21">I19*M19+J19*N19</f>
        <v>0</v>
      </c>
      <c r="Q19" s="45">
        <f t="shared" ref="Q19:Q37" si="22">K19*M19+L19*N19</f>
        <v>0</v>
      </c>
      <c r="R19" s="78">
        <v>7420000</v>
      </c>
      <c r="S19" s="45">
        <f t="shared" ref="S19:S37" si="23">Q19-R19</f>
        <v>-7420000</v>
      </c>
      <c r="T19" s="80">
        <f t="shared" si="6"/>
        <v>651284</v>
      </c>
      <c r="U19" s="80">
        <f t="shared" si="7"/>
        <v>437266</v>
      </c>
      <c r="V19" s="80">
        <f t="shared" si="13"/>
        <v>1088550</v>
      </c>
      <c r="W19" s="80" t="e">
        <f t="shared" ref="W19:W38" si="24">V19/M19</f>
        <v>#DIV/0!</v>
      </c>
      <c r="X19" s="81"/>
      <c r="Y19" s="81"/>
      <c r="Z19" s="82">
        <f t="shared" si="14"/>
        <v>0</v>
      </c>
      <c r="AA19" s="80" t="e">
        <f t="shared" si="9"/>
        <v>#DIV/0!</v>
      </c>
      <c r="AB19" s="81">
        <v>651284</v>
      </c>
      <c r="AC19" s="81">
        <v>437266</v>
      </c>
      <c r="AD19" s="82">
        <f t="shared" si="15"/>
        <v>1088550</v>
      </c>
      <c r="AE19" s="80" t="e">
        <f>AD19/#REF!</f>
        <v>#REF!</v>
      </c>
      <c r="AF19" s="80"/>
      <c r="AG19" s="80"/>
      <c r="AH19" s="80"/>
      <c r="AI19" s="80"/>
      <c r="AJ19" s="28"/>
      <c r="AK19" s="80"/>
      <c r="AL19" s="20"/>
      <c r="AO19">
        <v>201905</v>
      </c>
      <c r="AP19" s="7">
        <f t="shared" si="16"/>
        <v>0</v>
      </c>
      <c r="AQ19" s="7">
        <f t="shared" si="17"/>
        <v>0</v>
      </c>
    </row>
    <row r="20" spans="1:49">
      <c r="A20" s="1">
        <v>2019</v>
      </c>
      <c r="B20" s="1">
        <v>6</v>
      </c>
      <c r="C20" s="68"/>
      <c r="D20" s="34" t="e">
        <f t="shared" si="18"/>
        <v>#DIV/0!</v>
      </c>
      <c r="E20" s="100"/>
      <c r="F20" s="93">
        <f t="shared" si="10"/>
        <v>0</v>
      </c>
      <c r="G20" s="71"/>
      <c r="H20" s="96"/>
      <c r="I20" s="78">
        <v>160</v>
      </c>
      <c r="J20" s="78">
        <v>0</v>
      </c>
      <c r="K20" s="45">
        <f t="shared" si="19"/>
        <v>-160</v>
      </c>
      <c r="L20" s="45">
        <f t="shared" si="19"/>
        <v>0</v>
      </c>
      <c r="M20" s="90">
        <f t="shared" si="11"/>
        <v>0</v>
      </c>
      <c r="N20" s="90">
        <f t="shared" si="12"/>
        <v>0</v>
      </c>
      <c r="O20" s="45">
        <f t="shared" si="20"/>
        <v>0</v>
      </c>
      <c r="P20" s="45">
        <f t="shared" si="21"/>
        <v>0</v>
      </c>
      <c r="Q20" s="45">
        <f t="shared" si="22"/>
        <v>0</v>
      </c>
      <c r="R20" s="78">
        <v>7420000</v>
      </c>
      <c r="S20" s="45">
        <f t="shared" si="23"/>
        <v>-7420000</v>
      </c>
      <c r="T20" s="80">
        <f t="shared" si="6"/>
        <v>547897</v>
      </c>
      <c r="U20" s="80">
        <f t="shared" si="7"/>
        <v>420318</v>
      </c>
      <c r="V20" s="80">
        <f t="shared" si="13"/>
        <v>968215</v>
      </c>
      <c r="W20" s="80" t="e">
        <f t="shared" si="24"/>
        <v>#DIV/0!</v>
      </c>
      <c r="X20" s="81"/>
      <c r="Y20" s="81"/>
      <c r="Z20" s="82">
        <f t="shared" si="14"/>
        <v>0</v>
      </c>
      <c r="AA20" s="80" t="e">
        <f t="shared" si="9"/>
        <v>#DIV/0!</v>
      </c>
      <c r="AB20" s="81">
        <v>547897</v>
      </c>
      <c r="AC20" s="81">
        <v>420318</v>
      </c>
      <c r="AD20" s="82">
        <f t="shared" si="15"/>
        <v>968215</v>
      </c>
      <c r="AE20" s="80" t="e">
        <f>AD20/#REF!</f>
        <v>#REF!</v>
      </c>
      <c r="AF20" s="80"/>
      <c r="AG20" s="80"/>
      <c r="AH20" s="80"/>
      <c r="AI20" s="80"/>
      <c r="AJ20" s="28"/>
      <c r="AK20" s="80"/>
      <c r="AL20" s="20"/>
      <c r="AO20">
        <v>201906</v>
      </c>
      <c r="AP20" s="7">
        <f t="shared" si="16"/>
        <v>0</v>
      </c>
      <c r="AQ20" s="7">
        <f t="shared" si="17"/>
        <v>0</v>
      </c>
    </row>
    <row r="21" spans="1:49">
      <c r="A21" s="1">
        <v>2019</v>
      </c>
      <c r="B21" s="1">
        <v>7</v>
      </c>
      <c r="C21" s="68"/>
      <c r="D21" s="34" t="e">
        <f t="shared" si="18"/>
        <v>#DIV/0!</v>
      </c>
      <c r="E21" s="100"/>
      <c r="F21" s="93">
        <f t="shared" si="10"/>
        <v>0</v>
      </c>
      <c r="G21" s="71"/>
      <c r="H21" s="96"/>
      <c r="I21" s="78">
        <v>160</v>
      </c>
      <c r="J21" s="78">
        <v>0</v>
      </c>
      <c r="K21" s="45">
        <f t="shared" si="19"/>
        <v>-160</v>
      </c>
      <c r="L21" s="45">
        <f t="shared" si="19"/>
        <v>0</v>
      </c>
      <c r="M21" s="90">
        <f t="shared" si="11"/>
        <v>0</v>
      </c>
      <c r="N21" s="90">
        <f t="shared" si="12"/>
        <v>0</v>
      </c>
      <c r="O21" s="45">
        <f t="shared" si="20"/>
        <v>0</v>
      </c>
      <c r="P21" s="45">
        <f t="shared" si="21"/>
        <v>0</v>
      </c>
      <c r="Q21" s="45">
        <f t="shared" si="22"/>
        <v>0</v>
      </c>
      <c r="R21" s="78">
        <v>7420000</v>
      </c>
      <c r="S21" s="45">
        <f t="shared" si="23"/>
        <v>-7420000</v>
      </c>
      <c r="T21" s="80">
        <f t="shared" si="6"/>
        <v>507884</v>
      </c>
      <c r="U21" s="80">
        <f t="shared" si="7"/>
        <v>446678</v>
      </c>
      <c r="V21" s="80">
        <f t="shared" si="13"/>
        <v>954562</v>
      </c>
      <c r="W21" s="80" t="e">
        <f t="shared" si="24"/>
        <v>#DIV/0!</v>
      </c>
      <c r="X21" s="81"/>
      <c r="Y21" s="81"/>
      <c r="Z21" s="82">
        <f t="shared" si="14"/>
        <v>0</v>
      </c>
      <c r="AA21" s="80" t="e">
        <f t="shared" si="9"/>
        <v>#DIV/0!</v>
      </c>
      <c r="AB21" s="81">
        <v>507884</v>
      </c>
      <c r="AC21" s="81">
        <v>446678</v>
      </c>
      <c r="AD21" s="82">
        <f t="shared" si="15"/>
        <v>954562</v>
      </c>
      <c r="AE21" s="80" t="e">
        <f>AD21/#REF!</f>
        <v>#REF!</v>
      </c>
      <c r="AF21" s="80"/>
      <c r="AG21" s="80"/>
      <c r="AH21" s="80"/>
      <c r="AI21" s="80"/>
      <c r="AJ21" s="28"/>
      <c r="AK21" s="80"/>
      <c r="AL21" s="20"/>
      <c r="AO21">
        <v>201907</v>
      </c>
      <c r="AP21" s="7">
        <f t="shared" si="16"/>
        <v>0</v>
      </c>
      <c r="AQ21" s="7">
        <f t="shared" si="17"/>
        <v>0</v>
      </c>
    </row>
    <row r="22" spans="1:49">
      <c r="A22" s="1">
        <v>2019</v>
      </c>
      <c r="B22" s="1">
        <v>8</v>
      </c>
      <c r="C22" s="68"/>
      <c r="D22" s="34" t="e">
        <f t="shared" si="18"/>
        <v>#DIV/0!</v>
      </c>
      <c r="E22" s="100"/>
      <c r="F22" s="93">
        <f t="shared" si="10"/>
        <v>0</v>
      </c>
      <c r="G22" s="71"/>
      <c r="H22" s="96"/>
      <c r="I22" s="78">
        <v>160</v>
      </c>
      <c r="J22" s="78">
        <v>0</v>
      </c>
      <c r="K22" s="45">
        <f t="shared" si="19"/>
        <v>-160</v>
      </c>
      <c r="L22" s="45">
        <f t="shared" si="19"/>
        <v>0</v>
      </c>
      <c r="M22" s="90">
        <f t="shared" si="11"/>
        <v>0</v>
      </c>
      <c r="N22" s="90">
        <f t="shared" si="12"/>
        <v>0</v>
      </c>
      <c r="O22" s="45">
        <f t="shared" si="20"/>
        <v>0</v>
      </c>
      <c r="P22" s="45">
        <f t="shared" si="21"/>
        <v>0</v>
      </c>
      <c r="Q22" s="45">
        <f t="shared" si="22"/>
        <v>0</v>
      </c>
      <c r="R22" s="78">
        <v>7420000</v>
      </c>
      <c r="S22" s="45">
        <f t="shared" si="23"/>
        <v>-7420000</v>
      </c>
      <c r="T22" s="80">
        <f t="shared" si="6"/>
        <v>387758</v>
      </c>
      <c r="U22" s="80">
        <f t="shared" si="7"/>
        <v>116157</v>
      </c>
      <c r="V22" s="80">
        <f t="shared" si="13"/>
        <v>503915</v>
      </c>
      <c r="W22" s="80" t="e">
        <f t="shared" si="24"/>
        <v>#DIV/0!</v>
      </c>
      <c r="X22" s="81"/>
      <c r="Y22" s="81"/>
      <c r="Z22" s="82">
        <f t="shared" si="14"/>
        <v>0</v>
      </c>
      <c r="AA22" s="80" t="e">
        <f t="shared" si="9"/>
        <v>#DIV/0!</v>
      </c>
      <c r="AB22" s="81">
        <v>387758</v>
      </c>
      <c r="AC22" s="81">
        <v>116157</v>
      </c>
      <c r="AD22" s="82">
        <f t="shared" si="15"/>
        <v>503915</v>
      </c>
      <c r="AE22" s="80" t="e">
        <f>AD22/#REF!</f>
        <v>#REF!</v>
      </c>
      <c r="AF22" s="80"/>
      <c r="AG22" s="80"/>
      <c r="AH22" s="80"/>
      <c r="AI22" s="80"/>
      <c r="AJ22" s="28"/>
      <c r="AK22" s="80"/>
      <c r="AL22" s="20"/>
      <c r="AO22">
        <v>201908</v>
      </c>
      <c r="AP22" s="7">
        <f t="shared" si="16"/>
        <v>0</v>
      </c>
      <c r="AQ22" s="7">
        <f t="shared" si="17"/>
        <v>0</v>
      </c>
    </row>
    <row r="23" spans="1:49">
      <c r="A23" s="1">
        <v>2019</v>
      </c>
      <c r="B23" s="1">
        <v>9</v>
      </c>
      <c r="C23" s="68"/>
      <c r="D23" s="34" t="e">
        <f t="shared" si="18"/>
        <v>#DIV/0!</v>
      </c>
      <c r="E23" s="100"/>
      <c r="F23" s="93">
        <f t="shared" si="10"/>
        <v>0</v>
      </c>
      <c r="G23" s="71"/>
      <c r="H23" s="96"/>
      <c r="I23" s="78">
        <v>160</v>
      </c>
      <c r="J23" s="78">
        <v>0</v>
      </c>
      <c r="K23" s="45">
        <f t="shared" si="19"/>
        <v>-160</v>
      </c>
      <c r="L23" s="45">
        <f t="shared" si="19"/>
        <v>0</v>
      </c>
      <c r="M23" s="90">
        <f t="shared" si="11"/>
        <v>0</v>
      </c>
      <c r="N23" s="90">
        <f t="shared" si="12"/>
        <v>0</v>
      </c>
      <c r="O23" s="45">
        <f t="shared" si="20"/>
        <v>0</v>
      </c>
      <c r="P23" s="45">
        <f t="shared" si="21"/>
        <v>0</v>
      </c>
      <c r="Q23" s="45">
        <f t="shared" si="22"/>
        <v>0</v>
      </c>
      <c r="R23" s="78">
        <v>7420000</v>
      </c>
      <c r="S23" s="45">
        <f t="shared" si="23"/>
        <v>-7420000</v>
      </c>
      <c r="T23" s="80">
        <f t="shared" si="6"/>
        <v>0</v>
      </c>
      <c r="U23" s="80">
        <f t="shared" si="7"/>
        <v>0</v>
      </c>
      <c r="V23" s="80">
        <f t="shared" ref="V23:V38" si="25">SUM(T23:U23)</f>
        <v>0</v>
      </c>
      <c r="W23" s="80" t="e">
        <f t="shared" si="24"/>
        <v>#DIV/0!</v>
      </c>
      <c r="X23" s="81"/>
      <c r="Y23" s="81"/>
      <c r="Z23" s="82">
        <f t="shared" si="14"/>
        <v>0</v>
      </c>
      <c r="AA23" s="80" t="e">
        <f t="shared" si="9"/>
        <v>#DIV/0!</v>
      </c>
      <c r="AB23" s="81">
        <v>0</v>
      </c>
      <c r="AC23" s="81">
        <v>0</v>
      </c>
      <c r="AD23" s="82">
        <f t="shared" ref="AD23:AD38" si="26">SUM(AB23:AC23)</f>
        <v>0</v>
      </c>
      <c r="AE23" s="80" t="e">
        <f>AD23/#REF!</f>
        <v>#REF!</v>
      </c>
      <c r="AF23" s="80"/>
      <c r="AG23" s="80"/>
      <c r="AH23" s="80"/>
      <c r="AI23" s="80"/>
      <c r="AJ23" s="28"/>
      <c r="AK23" s="80"/>
      <c r="AL23" s="20"/>
      <c r="AO23">
        <v>201909</v>
      </c>
      <c r="AP23" s="7">
        <f t="shared" si="16"/>
        <v>0</v>
      </c>
      <c r="AQ23" s="7">
        <f t="shared" si="17"/>
        <v>0</v>
      </c>
    </row>
    <row r="24" spans="1:49">
      <c r="A24" s="1">
        <v>2019</v>
      </c>
      <c r="B24" s="1">
        <v>10</v>
      </c>
      <c r="C24" s="68"/>
      <c r="D24" s="34" t="e">
        <f t="shared" si="18"/>
        <v>#DIV/0!</v>
      </c>
      <c r="E24" s="100"/>
      <c r="F24" s="93">
        <f t="shared" si="10"/>
        <v>0</v>
      </c>
      <c r="G24" s="71"/>
      <c r="H24" s="96"/>
      <c r="I24" s="78">
        <v>160</v>
      </c>
      <c r="J24" s="78">
        <v>0</v>
      </c>
      <c r="K24" s="45">
        <f t="shared" si="19"/>
        <v>-160</v>
      </c>
      <c r="L24" s="45">
        <f t="shared" si="19"/>
        <v>0</v>
      </c>
      <c r="M24" s="90">
        <f t="shared" si="11"/>
        <v>0</v>
      </c>
      <c r="N24" s="90">
        <f t="shared" si="12"/>
        <v>0</v>
      </c>
      <c r="O24" s="45">
        <f t="shared" si="20"/>
        <v>0</v>
      </c>
      <c r="P24" s="45">
        <f t="shared" si="21"/>
        <v>0</v>
      </c>
      <c r="Q24" s="45">
        <f t="shared" si="22"/>
        <v>0</v>
      </c>
      <c r="R24" s="78">
        <v>7420000</v>
      </c>
      <c r="S24" s="45">
        <f t="shared" si="23"/>
        <v>-7420000</v>
      </c>
      <c r="T24" s="80">
        <f t="shared" si="6"/>
        <v>0</v>
      </c>
      <c r="U24" s="80">
        <f t="shared" si="7"/>
        <v>0</v>
      </c>
      <c r="V24" s="80">
        <f t="shared" si="25"/>
        <v>0</v>
      </c>
      <c r="W24" s="80" t="e">
        <f t="shared" si="24"/>
        <v>#DIV/0!</v>
      </c>
      <c r="X24" s="81"/>
      <c r="Y24" s="81"/>
      <c r="Z24" s="82">
        <f t="shared" si="14"/>
        <v>0</v>
      </c>
      <c r="AA24" s="80" t="e">
        <f t="shared" si="9"/>
        <v>#DIV/0!</v>
      </c>
      <c r="AB24" s="81">
        <v>0</v>
      </c>
      <c r="AC24" s="81">
        <v>0</v>
      </c>
      <c r="AD24" s="82">
        <f t="shared" si="26"/>
        <v>0</v>
      </c>
      <c r="AE24" s="80" t="e">
        <f>AD24/#REF!</f>
        <v>#REF!</v>
      </c>
      <c r="AF24" s="80"/>
      <c r="AG24" s="80"/>
      <c r="AH24" s="80"/>
      <c r="AI24" s="80"/>
      <c r="AJ24" s="28"/>
      <c r="AK24" s="80"/>
      <c r="AL24" s="20"/>
      <c r="AO24">
        <v>201910</v>
      </c>
      <c r="AP24" s="7">
        <f t="shared" si="16"/>
        <v>0</v>
      </c>
      <c r="AQ24" s="7">
        <f t="shared" si="17"/>
        <v>0</v>
      </c>
    </row>
    <row r="25" spans="1:49">
      <c r="A25" s="1">
        <v>2019</v>
      </c>
      <c r="B25" s="1">
        <v>11</v>
      </c>
      <c r="C25" s="68"/>
      <c r="D25" s="34" t="e">
        <f t="shared" si="18"/>
        <v>#DIV/0!</v>
      </c>
      <c r="E25" s="100"/>
      <c r="F25" s="93">
        <f t="shared" si="10"/>
        <v>0</v>
      </c>
      <c r="G25" s="71"/>
      <c r="H25" s="96"/>
      <c r="I25" s="78">
        <v>160</v>
      </c>
      <c r="J25" s="78">
        <v>0</v>
      </c>
      <c r="K25" s="45">
        <f t="shared" si="19"/>
        <v>-160</v>
      </c>
      <c r="L25" s="45">
        <f t="shared" si="19"/>
        <v>0</v>
      </c>
      <c r="M25" s="90">
        <f t="shared" si="11"/>
        <v>0</v>
      </c>
      <c r="N25" s="90">
        <f t="shared" si="12"/>
        <v>0</v>
      </c>
      <c r="O25" s="45">
        <f t="shared" si="20"/>
        <v>0</v>
      </c>
      <c r="P25" s="45">
        <f t="shared" si="21"/>
        <v>0</v>
      </c>
      <c r="Q25" s="45">
        <f t="shared" si="22"/>
        <v>0</v>
      </c>
      <c r="R25" s="78">
        <v>7420000</v>
      </c>
      <c r="S25" s="45">
        <f t="shared" si="23"/>
        <v>-7420000</v>
      </c>
      <c r="T25" s="80">
        <f t="shared" si="6"/>
        <v>0</v>
      </c>
      <c r="U25" s="80">
        <f t="shared" si="7"/>
        <v>2486</v>
      </c>
      <c r="V25" s="80">
        <f t="shared" si="25"/>
        <v>2486</v>
      </c>
      <c r="W25" s="80" t="e">
        <f t="shared" si="24"/>
        <v>#DIV/0!</v>
      </c>
      <c r="X25" s="81">
        <v>2486</v>
      </c>
      <c r="Y25" s="81"/>
      <c r="Z25" s="82">
        <f t="shared" si="14"/>
        <v>2486</v>
      </c>
      <c r="AA25" s="80" t="e">
        <f t="shared" si="9"/>
        <v>#DIV/0!</v>
      </c>
      <c r="AB25" s="81">
        <v>0</v>
      </c>
      <c r="AC25" s="81">
        <v>0</v>
      </c>
      <c r="AD25" s="82">
        <f t="shared" si="26"/>
        <v>0</v>
      </c>
      <c r="AE25" s="80" t="e">
        <f>AD25/#REF!</f>
        <v>#REF!</v>
      </c>
      <c r="AF25" s="80"/>
      <c r="AG25" s="80"/>
      <c r="AH25" s="80"/>
      <c r="AI25" s="80"/>
      <c r="AJ25" s="28"/>
      <c r="AK25" s="80"/>
      <c r="AL25" s="20"/>
      <c r="AO25">
        <v>201911</v>
      </c>
      <c r="AP25" s="7">
        <f t="shared" si="16"/>
        <v>0</v>
      </c>
      <c r="AQ25" s="7">
        <f t="shared" si="17"/>
        <v>0</v>
      </c>
    </row>
    <row r="26" spans="1:49">
      <c r="A26" s="1">
        <v>2019</v>
      </c>
      <c r="B26" s="1">
        <v>12</v>
      </c>
      <c r="C26" s="68"/>
      <c r="D26" s="34" t="e">
        <f t="shared" si="18"/>
        <v>#DIV/0!</v>
      </c>
      <c r="E26" s="100"/>
      <c r="F26" s="93">
        <f t="shared" si="10"/>
        <v>0</v>
      </c>
      <c r="G26" s="71"/>
      <c r="H26" s="96"/>
      <c r="I26" s="78">
        <v>160</v>
      </c>
      <c r="J26" s="78">
        <v>0</v>
      </c>
      <c r="K26" s="45">
        <f t="shared" si="19"/>
        <v>-160</v>
      </c>
      <c r="L26" s="45">
        <f t="shared" si="19"/>
        <v>0</v>
      </c>
      <c r="M26" s="90">
        <f t="shared" si="11"/>
        <v>0</v>
      </c>
      <c r="N26" s="90">
        <f t="shared" si="12"/>
        <v>0</v>
      </c>
      <c r="O26" s="45">
        <f t="shared" si="20"/>
        <v>0</v>
      </c>
      <c r="P26" s="45">
        <f t="shared" si="21"/>
        <v>0</v>
      </c>
      <c r="Q26" s="45">
        <f t="shared" si="22"/>
        <v>0</v>
      </c>
      <c r="R26" s="78">
        <v>7420000</v>
      </c>
      <c r="S26" s="45">
        <f t="shared" si="23"/>
        <v>-7420000</v>
      </c>
      <c r="T26" s="80">
        <f t="shared" si="6"/>
        <v>10353</v>
      </c>
      <c r="U26" s="80">
        <f t="shared" si="7"/>
        <v>9348</v>
      </c>
      <c r="V26" s="80">
        <f t="shared" si="25"/>
        <v>19701</v>
      </c>
      <c r="W26" s="80" t="e">
        <f t="shared" si="24"/>
        <v>#DIV/0!</v>
      </c>
      <c r="X26" s="81">
        <v>9348</v>
      </c>
      <c r="Y26" s="81">
        <v>10353</v>
      </c>
      <c r="Z26" s="82">
        <f t="shared" si="14"/>
        <v>19701</v>
      </c>
      <c r="AA26" s="80" t="e">
        <f t="shared" si="9"/>
        <v>#DIV/0!</v>
      </c>
      <c r="AB26" s="81">
        <v>0</v>
      </c>
      <c r="AC26" s="81">
        <v>0</v>
      </c>
      <c r="AD26" s="82">
        <f t="shared" si="26"/>
        <v>0</v>
      </c>
      <c r="AE26" s="80" t="e">
        <f>AD26/#REF!</f>
        <v>#REF!</v>
      </c>
      <c r="AF26" s="80"/>
      <c r="AG26" s="80"/>
      <c r="AH26" s="80"/>
      <c r="AI26" s="80"/>
      <c r="AJ26" s="28"/>
      <c r="AK26" s="80"/>
      <c r="AL26" s="20"/>
      <c r="AO26">
        <v>201912</v>
      </c>
      <c r="AP26" s="7">
        <f t="shared" si="16"/>
        <v>0</v>
      </c>
      <c r="AQ26" s="7">
        <f t="shared" si="17"/>
        <v>0</v>
      </c>
    </row>
    <row r="27" spans="1:49">
      <c r="A27" s="1">
        <v>2020</v>
      </c>
      <c r="B27" s="1">
        <v>1</v>
      </c>
      <c r="C27" s="68"/>
      <c r="D27" s="34" t="e">
        <f t="shared" si="18"/>
        <v>#DIV/0!</v>
      </c>
      <c r="E27" s="100"/>
      <c r="F27" s="93">
        <f t="shared" si="10"/>
        <v>0</v>
      </c>
      <c r="G27" s="71"/>
      <c r="H27" s="96"/>
      <c r="I27" s="78">
        <v>160</v>
      </c>
      <c r="J27" s="78">
        <v>0</v>
      </c>
      <c r="K27" s="45">
        <f t="shared" si="19"/>
        <v>-160</v>
      </c>
      <c r="L27" s="45">
        <f t="shared" si="19"/>
        <v>0</v>
      </c>
      <c r="M27" s="90">
        <f t="shared" si="11"/>
        <v>0</v>
      </c>
      <c r="N27" s="90">
        <f t="shared" si="12"/>
        <v>0</v>
      </c>
      <c r="O27" s="45">
        <f t="shared" si="20"/>
        <v>0</v>
      </c>
      <c r="P27" s="45">
        <f t="shared" si="21"/>
        <v>0</v>
      </c>
      <c r="Q27" s="45">
        <f t="shared" si="22"/>
        <v>0</v>
      </c>
      <c r="R27" s="78">
        <v>7420000</v>
      </c>
      <c r="S27" s="45">
        <f t="shared" si="23"/>
        <v>-7420000</v>
      </c>
      <c r="T27" s="84">
        <f t="shared" si="6"/>
        <v>21400</v>
      </c>
      <c r="U27" s="80">
        <f t="shared" si="7"/>
        <v>12692</v>
      </c>
      <c r="V27" s="80">
        <f t="shared" si="25"/>
        <v>34092</v>
      </c>
      <c r="W27" s="80" t="e">
        <f t="shared" si="24"/>
        <v>#DIV/0!</v>
      </c>
      <c r="X27" s="81">
        <v>12692</v>
      </c>
      <c r="Y27" s="81">
        <v>21400</v>
      </c>
      <c r="Z27" s="82">
        <f t="shared" si="14"/>
        <v>34092</v>
      </c>
      <c r="AA27" s="80" t="e">
        <f t="shared" si="9"/>
        <v>#DIV/0!</v>
      </c>
      <c r="AB27" s="81">
        <v>0</v>
      </c>
      <c r="AC27" s="81">
        <v>0</v>
      </c>
      <c r="AD27" s="82">
        <f t="shared" si="26"/>
        <v>0</v>
      </c>
      <c r="AE27" s="80" t="e">
        <f>AD27/#REF!</f>
        <v>#REF!</v>
      </c>
      <c r="AF27" s="80"/>
      <c r="AG27" s="80"/>
      <c r="AH27" s="80"/>
      <c r="AI27" s="80"/>
      <c r="AJ27" s="28"/>
      <c r="AK27" s="80"/>
      <c r="AL27" s="20"/>
      <c r="AO27">
        <v>202001</v>
      </c>
      <c r="AP27" s="7">
        <f t="shared" si="16"/>
        <v>0</v>
      </c>
      <c r="AQ27" s="7">
        <f t="shared" si="17"/>
        <v>0</v>
      </c>
    </row>
    <row r="28" spans="1:49">
      <c r="A28" s="1">
        <v>2020</v>
      </c>
      <c r="B28" s="1">
        <v>2</v>
      </c>
      <c r="C28" s="68"/>
      <c r="D28" s="34" t="e">
        <f t="shared" si="18"/>
        <v>#DIV/0!</v>
      </c>
      <c r="E28" s="100"/>
      <c r="F28" s="93">
        <f t="shared" si="10"/>
        <v>0</v>
      </c>
      <c r="G28" s="71"/>
      <c r="H28" s="96"/>
      <c r="I28" s="78">
        <v>160</v>
      </c>
      <c r="J28" s="78">
        <v>0</v>
      </c>
      <c r="K28" s="45">
        <f t="shared" si="19"/>
        <v>-160</v>
      </c>
      <c r="L28" s="45">
        <f t="shared" si="19"/>
        <v>0</v>
      </c>
      <c r="M28" s="90">
        <f t="shared" si="11"/>
        <v>0</v>
      </c>
      <c r="N28" s="90">
        <f t="shared" si="12"/>
        <v>0</v>
      </c>
      <c r="O28" s="45">
        <f t="shared" si="20"/>
        <v>0</v>
      </c>
      <c r="P28" s="45">
        <f t="shared" si="21"/>
        <v>0</v>
      </c>
      <c r="Q28" s="45">
        <f t="shared" si="22"/>
        <v>0</v>
      </c>
      <c r="R28" s="78">
        <v>7420000</v>
      </c>
      <c r="S28" s="45">
        <f t="shared" si="23"/>
        <v>-7420000</v>
      </c>
      <c r="T28" s="84">
        <f t="shared" si="6"/>
        <v>24746</v>
      </c>
      <c r="U28" s="80">
        <f t="shared" si="7"/>
        <v>19509</v>
      </c>
      <c r="V28" s="80">
        <f t="shared" si="25"/>
        <v>44255</v>
      </c>
      <c r="W28" s="80" t="e">
        <f t="shared" si="24"/>
        <v>#DIV/0!</v>
      </c>
      <c r="X28" s="81">
        <v>19509</v>
      </c>
      <c r="Y28" s="81">
        <v>24746</v>
      </c>
      <c r="Z28" s="82">
        <f t="shared" si="14"/>
        <v>44255</v>
      </c>
      <c r="AA28" s="80" t="e">
        <f t="shared" si="9"/>
        <v>#DIV/0!</v>
      </c>
      <c r="AB28" s="81">
        <v>0</v>
      </c>
      <c r="AC28" s="81">
        <v>0</v>
      </c>
      <c r="AD28" s="82">
        <f t="shared" si="26"/>
        <v>0</v>
      </c>
      <c r="AE28" s="80" t="e">
        <f>AD28/#REF!</f>
        <v>#REF!</v>
      </c>
      <c r="AF28" s="80"/>
      <c r="AG28" s="80"/>
      <c r="AH28" s="80"/>
      <c r="AI28" s="80"/>
      <c r="AJ28" s="28"/>
      <c r="AK28" s="80"/>
      <c r="AL28" s="20"/>
      <c r="AO28">
        <v>202002</v>
      </c>
      <c r="AP28" s="7">
        <f t="shared" si="16"/>
        <v>0</v>
      </c>
      <c r="AQ28" s="7">
        <f t="shared" si="17"/>
        <v>0</v>
      </c>
    </row>
    <row r="29" spans="1:49">
      <c r="A29" s="1">
        <v>2020</v>
      </c>
      <c r="B29" s="1">
        <v>3</v>
      </c>
      <c r="C29" s="68"/>
      <c r="D29" s="34" t="e">
        <f t="shared" si="18"/>
        <v>#DIV/0!</v>
      </c>
      <c r="E29" s="100"/>
      <c r="F29" s="93">
        <f t="shared" si="10"/>
        <v>0</v>
      </c>
      <c r="G29" s="71"/>
      <c r="H29" s="96"/>
      <c r="I29" s="78">
        <v>160</v>
      </c>
      <c r="J29" s="78">
        <v>0</v>
      </c>
      <c r="K29" s="45">
        <f t="shared" si="19"/>
        <v>-160</v>
      </c>
      <c r="L29" s="45">
        <f t="shared" si="19"/>
        <v>0</v>
      </c>
      <c r="M29" s="90">
        <f t="shared" si="11"/>
        <v>0</v>
      </c>
      <c r="N29" s="90">
        <f t="shared" si="12"/>
        <v>0</v>
      </c>
      <c r="O29" s="45">
        <f t="shared" si="20"/>
        <v>0</v>
      </c>
      <c r="P29" s="45">
        <f t="shared" si="21"/>
        <v>0</v>
      </c>
      <c r="Q29" s="45">
        <f t="shared" si="22"/>
        <v>0</v>
      </c>
      <c r="R29" s="78">
        <v>7420000</v>
      </c>
      <c r="S29" s="45">
        <f t="shared" si="23"/>
        <v>-7420000</v>
      </c>
      <c r="T29" s="84">
        <f t="shared" si="6"/>
        <v>28955</v>
      </c>
      <c r="U29" s="80">
        <f t="shared" si="7"/>
        <v>25853</v>
      </c>
      <c r="V29" s="80">
        <f t="shared" si="25"/>
        <v>54808</v>
      </c>
      <c r="W29" s="80" t="e">
        <f t="shared" si="24"/>
        <v>#DIV/0!</v>
      </c>
      <c r="X29" s="81">
        <v>25853</v>
      </c>
      <c r="Y29" s="81">
        <v>28955</v>
      </c>
      <c r="Z29" s="82">
        <f t="shared" si="14"/>
        <v>54808</v>
      </c>
      <c r="AA29" s="80" t="e">
        <f t="shared" si="9"/>
        <v>#DIV/0!</v>
      </c>
      <c r="AB29" s="81">
        <v>0</v>
      </c>
      <c r="AC29" s="81">
        <v>0</v>
      </c>
      <c r="AD29" s="82">
        <f t="shared" si="26"/>
        <v>0</v>
      </c>
      <c r="AE29" s="80" t="e">
        <f>AD29/#REF!</f>
        <v>#REF!</v>
      </c>
      <c r="AF29" s="80"/>
      <c r="AG29" s="80"/>
      <c r="AH29" s="80"/>
      <c r="AI29" s="80"/>
      <c r="AJ29" s="28"/>
      <c r="AK29" s="80"/>
      <c r="AL29" s="20"/>
      <c r="AO29">
        <v>202003</v>
      </c>
      <c r="AP29" s="7">
        <f t="shared" si="16"/>
        <v>0</v>
      </c>
      <c r="AQ29" s="7">
        <f t="shared" si="17"/>
        <v>0</v>
      </c>
    </row>
    <row r="30" spans="1:49">
      <c r="A30" s="1">
        <v>2020</v>
      </c>
      <c r="B30" s="1">
        <v>4</v>
      </c>
      <c r="C30" s="68"/>
      <c r="D30" s="34" t="e">
        <f t="shared" si="18"/>
        <v>#DIV/0!</v>
      </c>
      <c r="E30" s="100"/>
      <c r="F30" s="93">
        <f t="shared" si="10"/>
        <v>0</v>
      </c>
      <c r="G30" s="71"/>
      <c r="H30" s="96"/>
      <c r="I30" s="78">
        <v>160</v>
      </c>
      <c r="J30" s="78">
        <v>0</v>
      </c>
      <c r="K30" s="45">
        <f t="shared" si="19"/>
        <v>-160</v>
      </c>
      <c r="L30" s="45">
        <f t="shared" si="19"/>
        <v>0</v>
      </c>
      <c r="M30" s="90">
        <f t="shared" si="11"/>
        <v>0</v>
      </c>
      <c r="N30" s="90">
        <f t="shared" si="12"/>
        <v>0</v>
      </c>
      <c r="O30" s="45">
        <f t="shared" si="20"/>
        <v>0</v>
      </c>
      <c r="P30" s="45">
        <f t="shared" si="21"/>
        <v>0</v>
      </c>
      <c r="Q30" s="45">
        <f t="shared" si="22"/>
        <v>0</v>
      </c>
      <c r="R30" s="78">
        <v>7420000</v>
      </c>
      <c r="S30" s="45">
        <f t="shared" si="23"/>
        <v>-7420000</v>
      </c>
      <c r="T30" s="84">
        <f t="shared" si="6"/>
        <v>24241</v>
      </c>
      <c r="U30" s="80">
        <f t="shared" si="7"/>
        <v>19024</v>
      </c>
      <c r="V30" s="80">
        <f t="shared" si="25"/>
        <v>43265</v>
      </c>
      <c r="W30" s="80" t="e">
        <f t="shared" si="24"/>
        <v>#DIV/0!</v>
      </c>
      <c r="X30" s="81">
        <v>19024</v>
      </c>
      <c r="Y30" s="81">
        <v>24241</v>
      </c>
      <c r="Z30" s="82">
        <f t="shared" si="14"/>
        <v>43265</v>
      </c>
      <c r="AA30" s="80" t="e">
        <f t="shared" si="9"/>
        <v>#DIV/0!</v>
      </c>
      <c r="AB30" s="81">
        <v>0</v>
      </c>
      <c r="AC30" s="81">
        <v>0</v>
      </c>
      <c r="AD30" s="82">
        <f t="shared" si="26"/>
        <v>0</v>
      </c>
      <c r="AE30" s="80" t="e">
        <f>AD30/#REF!</f>
        <v>#REF!</v>
      </c>
      <c r="AF30" s="80"/>
      <c r="AG30" s="80"/>
      <c r="AH30" s="80"/>
      <c r="AI30" s="80"/>
      <c r="AJ30" s="28"/>
      <c r="AK30" s="80"/>
      <c r="AL30" s="20"/>
      <c r="AO30">
        <v>202004</v>
      </c>
      <c r="AP30" s="7">
        <f t="shared" si="16"/>
        <v>0</v>
      </c>
      <c r="AQ30" s="7">
        <f t="shared" si="17"/>
        <v>0</v>
      </c>
    </row>
    <row r="31" spans="1:49">
      <c r="A31" s="1">
        <v>2020</v>
      </c>
      <c r="B31" s="1">
        <v>5</v>
      </c>
      <c r="C31" s="68"/>
      <c r="D31" s="34" t="e">
        <f t="shared" si="18"/>
        <v>#DIV/0!</v>
      </c>
      <c r="E31" s="100"/>
      <c r="F31" s="93">
        <f t="shared" si="10"/>
        <v>0</v>
      </c>
      <c r="G31" s="71"/>
      <c r="H31" s="96"/>
      <c r="I31" s="78">
        <v>160</v>
      </c>
      <c r="J31" s="78">
        <v>0</v>
      </c>
      <c r="K31" s="45">
        <f t="shared" si="19"/>
        <v>-160</v>
      </c>
      <c r="L31" s="45">
        <f t="shared" si="19"/>
        <v>0</v>
      </c>
      <c r="M31" s="90">
        <f t="shared" si="11"/>
        <v>0</v>
      </c>
      <c r="N31" s="90">
        <f t="shared" si="12"/>
        <v>0</v>
      </c>
      <c r="O31" s="45">
        <f t="shared" si="20"/>
        <v>0</v>
      </c>
      <c r="P31" s="45">
        <f t="shared" si="21"/>
        <v>0</v>
      </c>
      <c r="Q31" s="45">
        <f t="shared" si="22"/>
        <v>0</v>
      </c>
      <c r="R31" s="78">
        <v>7420000</v>
      </c>
      <c r="S31" s="45">
        <f t="shared" si="23"/>
        <v>-7420000</v>
      </c>
      <c r="T31" s="84">
        <f t="shared" si="6"/>
        <v>9556</v>
      </c>
      <c r="U31" s="80">
        <f t="shared" si="7"/>
        <v>7866</v>
      </c>
      <c r="V31" s="80">
        <f t="shared" si="25"/>
        <v>17422</v>
      </c>
      <c r="W31" s="80" t="e">
        <f t="shared" si="24"/>
        <v>#DIV/0!</v>
      </c>
      <c r="X31" s="81">
        <v>7866</v>
      </c>
      <c r="Y31" s="81">
        <v>9556</v>
      </c>
      <c r="Z31" s="82">
        <f t="shared" si="14"/>
        <v>17422</v>
      </c>
      <c r="AA31" s="80" t="e">
        <f t="shared" si="9"/>
        <v>#DIV/0!</v>
      </c>
      <c r="AB31" s="81">
        <v>0</v>
      </c>
      <c r="AC31" s="81">
        <v>0</v>
      </c>
      <c r="AD31" s="82">
        <f t="shared" si="26"/>
        <v>0</v>
      </c>
      <c r="AE31" s="80" t="e">
        <f>AD31/#REF!</f>
        <v>#REF!</v>
      </c>
      <c r="AF31" s="80"/>
      <c r="AG31" s="80"/>
      <c r="AH31" s="80"/>
      <c r="AI31" s="80"/>
      <c r="AJ31" s="28"/>
      <c r="AK31" s="80"/>
      <c r="AL31" s="20"/>
      <c r="AO31">
        <v>202005</v>
      </c>
      <c r="AP31" s="7">
        <f t="shared" si="16"/>
        <v>0</v>
      </c>
      <c r="AQ31" s="7">
        <f t="shared" si="17"/>
        <v>0</v>
      </c>
    </row>
    <row r="32" spans="1:49">
      <c r="A32" s="1">
        <v>2020</v>
      </c>
      <c r="B32" s="1">
        <v>6</v>
      </c>
      <c r="C32" s="68"/>
      <c r="D32" s="34" t="e">
        <f t="shared" si="18"/>
        <v>#DIV/0!</v>
      </c>
      <c r="E32" s="100"/>
      <c r="F32" s="93">
        <f t="shared" si="10"/>
        <v>0</v>
      </c>
      <c r="G32" s="71"/>
      <c r="H32" s="96"/>
      <c r="I32" s="78">
        <v>160</v>
      </c>
      <c r="J32" s="78">
        <v>0</v>
      </c>
      <c r="K32" s="45">
        <f t="shared" si="19"/>
        <v>-160</v>
      </c>
      <c r="L32" s="45">
        <f t="shared" si="19"/>
        <v>0</v>
      </c>
      <c r="M32" s="90">
        <f t="shared" si="11"/>
        <v>0</v>
      </c>
      <c r="N32" s="90">
        <f t="shared" si="12"/>
        <v>0</v>
      </c>
      <c r="O32" s="45">
        <f t="shared" si="20"/>
        <v>0</v>
      </c>
      <c r="P32" s="45">
        <f t="shared" si="21"/>
        <v>0</v>
      </c>
      <c r="Q32" s="45">
        <f t="shared" si="22"/>
        <v>0</v>
      </c>
      <c r="R32" s="78">
        <v>7420000</v>
      </c>
      <c r="S32" s="45">
        <f t="shared" si="23"/>
        <v>-7420000</v>
      </c>
      <c r="T32" s="84">
        <f t="shared" si="6"/>
        <v>11032</v>
      </c>
      <c r="U32" s="80">
        <f t="shared" si="7"/>
        <v>9956</v>
      </c>
      <c r="V32" s="80">
        <f t="shared" si="25"/>
        <v>20988</v>
      </c>
      <c r="W32" s="80" t="e">
        <f t="shared" si="24"/>
        <v>#DIV/0!</v>
      </c>
      <c r="X32" s="81">
        <v>9956</v>
      </c>
      <c r="Y32" s="81">
        <v>11032</v>
      </c>
      <c r="Z32" s="82">
        <f t="shared" si="14"/>
        <v>20988</v>
      </c>
      <c r="AA32" s="80" t="e">
        <f t="shared" si="9"/>
        <v>#DIV/0!</v>
      </c>
      <c r="AB32" s="81">
        <v>0</v>
      </c>
      <c r="AC32" s="81">
        <v>0</v>
      </c>
      <c r="AD32" s="82">
        <f t="shared" si="26"/>
        <v>0</v>
      </c>
      <c r="AE32" s="80" t="e">
        <f>AD32/#REF!</f>
        <v>#REF!</v>
      </c>
      <c r="AF32" s="80"/>
      <c r="AG32" s="80"/>
      <c r="AH32" s="80"/>
      <c r="AI32" s="80"/>
      <c r="AJ32" s="28"/>
      <c r="AK32" s="80"/>
      <c r="AL32" s="20"/>
      <c r="AO32">
        <v>202006</v>
      </c>
      <c r="AP32" s="7">
        <f t="shared" si="16"/>
        <v>0</v>
      </c>
      <c r="AQ32" s="7">
        <f t="shared" si="17"/>
        <v>0</v>
      </c>
    </row>
    <row r="33" spans="1:43">
      <c r="A33" s="1">
        <v>2020</v>
      </c>
      <c r="B33" s="1">
        <v>7</v>
      </c>
      <c r="C33" s="68"/>
      <c r="D33" s="34" t="e">
        <f t="shared" si="18"/>
        <v>#DIV/0!</v>
      </c>
      <c r="E33" s="100"/>
      <c r="F33" s="93">
        <f t="shared" si="10"/>
        <v>0</v>
      </c>
      <c r="G33" s="71"/>
      <c r="H33" s="96"/>
      <c r="I33" s="78">
        <v>160</v>
      </c>
      <c r="J33" s="78">
        <v>0</v>
      </c>
      <c r="K33" s="45">
        <f t="shared" si="19"/>
        <v>-160</v>
      </c>
      <c r="L33" s="45">
        <f t="shared" si="19"/>
        <v>0</v>
      </c>
      <c r="M33" s="90">
        <f t="shared" si="11"/>
        <v>0</v>
      </c>
      <c r="N33" s="90">
        <f t="shared" si="12"/>
        <v>0</v>
      </c>
      <c r="O33" s="45">
        <f t="shared" si="20"/>
        <v>0</v>
      </c>
      <c r="P33" s="45">
        <f t="shared" si="21"/>
        <v>0</v>
      </c>
      <c r="Q33" s="45">
        <f t="shared" si="22"/>
        <v>0</v>
      </c>
      <c r="R33" s="78">
        <v>7420000</v>
      </c>
      <c r="S33" s="45">
        <f t="shared" si="23"/>
        <v>-7420000</v>
      </c>
      <c r="T33" s="84">
        <f t="shared" si="6"/>
        <v>6815</v>
      </c>
      <c r="U33" s="80">
        <f t="shared" si="7"/>
        <v>7337</v>
      </c>
      <c r="V33" s="80">
        <f t="shared" si="25"/>
        <v>14152</v>
      </c>
      <c r="W33" s="80" t="e">
        <f t="shared" si="24"/>
        <v>#DIV/0!</v>
      </c>
      <c r="X33" s="81">
        <v>7337</v>
      </c>
      <c r="Y33" s="81">
        <v>6815</v>
      </c>
      <c r="Z33" s="82">
        <f t="shared" si="14"/>
        <v>14152</v>
      </c>
      <c r="AA33" s="80" t="e">
        <f t="shared" si="9"/>
        <v>#DIV/0!</v>
      </c>
      <c r="AB33" s="81">
        <v>0</v>
      </c>
      <c r="AC33" s="81">
        <v>0</v>
      </c>
      <c r="AD33" s="82">
        <f t="shared" si="26"/>
        <v>0</v>
      </c>
      <c r="AE33" s="80" t="e">
        <f>AD33/#REF!</f>
        <v>#REF!</v>
      </c>
      <c r="AF33" s="80"/>
      <c r="AG33" s="80"/>
      <c r="AH33" s="80"/>
      <c r="AI33" s="80"/>
      <c r="AJ33" s="28"/>
      <c r="AK33" s="80"/>
      <c r="AL33" s="20"/>
      <c r="AO33">
        <v>202007</v>
      </c>
      <c r="AP33" s="7">
        <f t="shared" si="16"/>
        <v>0</v>
      </c>
      <c r="AQ33" s="7">
        <f t="shared" si="17"/>
        <v>0</v>
      </c>
    </row>
    <row r="34" spans="1:43">
      <c r="A34" s="1">
        <v>2020</v>
      </c>
      <c r="B34" s="1">
        <v>8</v>
      </c>
      <c r="C34" s="68"/>
      <c r="D34" s="34" t="e">
        <f t="shared" si="18"/>
        <v>#DIV/0!</v>
      </c>
      <c r="E34" s="100"/>
      <c r="F34" s="93">
        <f t="shared" si="10"/>
        <v>0</v>
      </c>
      <c r="G34" s="71"/>
      <c r="H34" s="96"/>
      <c r="I34" s="78">
        <v>160</v>
      </c>
      <c r="J34" s="78">
        <v>0</v>
      </c>
      <c r="K34" s="45">
        <f t="shared" si="19"/>
        <v>-160</v>
      </c>
      <c r="L34" s="45">
        <f t="shared" si="19"/>
        <v>0</v>
      </c>
      <c r="M34" s="90">
        <f t="shared" si="11"/>
        <v>0</v>
      </c>
      <c r="N34" s="90">
        <f t="shared" si="12"/>
        <v>0</v>
      </c>
      <c r="O34" s="45">
        <f t="shared" si="20"/>
        <v>0</v>
      </c>
      <c r="P34" s="45">
        <f t="shared" si="21"/>
        <v>0</v>
      </c>
      <c r="Q34" s="45">
        <f t="shared" si="22"/>
        <v>0</v>
      </c>
      <c r="R34" s="78">
        <v>7420000</v>
      </c>
      <c r="S34" s="45">
        <f t="shared" si="23"/>
        <v>-7420000</v>
      </c>
      <c r="T34" s="84">
        <f t="shared" si="6"/>
        <v>2520</v>
      </c>
      <c r="U34" s="80">
        <f t="shared" si="7"/>
        <v>6887</v>
      </c>
      <c r="V34" s="80">
        <f t="shared" si="25"/>
        <v>9407</v>
      </c>
      <c r="W34" s="80" t="e">
        <f t="shared" si="24"/>
        <v>#DIV/0!</v>
      </c>
      <c r="X34" s="81">
        <v>6887</v>
      </c>
      <c r="Y34" s="81">
        <v>2520</v>
      </c>
      <c r="Z34" s="82">
        <f t="shared" si="14"/>
        <v>9407</v>
      </c>
      <c r="AA34" s="80" t="e">
        <f t="shared" si="9"/>
        <v>#DIV/0!</v>
      </c>
      <c r="AB34" s="81">
        <v>0</v>
      </c>
      <c r="AC34" s="81">
        <v>0</v>
      </c>
      <c r="AD34" s="82">
        <f t="shared" si="26"/>
        <v>0</v>
      </c>
      <c r="AE34" s="80" t="e">
        <f>AD34/#REF!</f>
        <v>#REF!</v>
      </c>
      <c r="AF34" s="80"/>
      <c r="AG34" s="80"/>
      <c r="AH34" s="80"/>
      <c r="AI34" s="80"/>
      <c r="AJ34" s="28"/>
      <c r="AK34" s="80"/>
      <c r="AL34" s="20"/>
      <c r="AO34">
        <v>202008</v>
      </c>
      <c r="AP34" s="7">
        <f t="shared" si="16"/>
        <v>0</v>
      </c>
      <c r="AQ34" s="7">
        <f t="shared" si="17"/>
        <v>0</v>
      </c>
    </row>
    <row r="35" spans="1:43">
      <c r="A35" s="1">
        <v>2020</v>
      </c>
      <c r="B35" s="1">
        <v>9</v>
      </c>
      <c r="C35" s="68"/>
      <c r="D35" s="34" t="e">
        <f t="shared" si="18"/>
        <v>#DIV/0!</v>
      </c>
      <c r="E35" s="100"/>
      <c r="F35" s="93">
        <f t="shared" si="10"/>
        <v>0</v>
      </c>
      <c r="G35" s="71"/>
      <c r="H35" s="96"/>
      <c r="I35" s="78">
        <v>160</v>
      </c>
      <c r="J35" s="78">
        <v>0</v>
      </c>
      <c r="K35" s="45">
        <f t="shared" si="19"/>
        <v>-160</v>
      </c>
      <c r="L35" s="45">
        <f t="shared" si="19"/>
        <v>0</v>
      </c>
      <c r="M35" s="90">
        <f t="shared" si="11"/>
        <v>0</v>
      </c>
      <c r="N35" s="90">
        <f t="shared" si="12"/>
        <v>0</v>
      </c>
      <c r="O35" s="45">
        <f t="shared" si="20"/>
        <v>0</v>
      </c>
      <c r="P35" s="45">
        <f t="shared" si="21"/>
        <v>0</v>
      </c>
      <c r="Q35" s="45">
        <f t="shared" si="22"/>
        <v>0</v>
      </c>
      <c r="R35" s="78">
        <v>7420000</v>
      </c>
      <c r="S35" s="45">
        <f t="shared" si="23"/>
        <v>-7420000</v>
      </c>
      <c r="T35" s="84">
        <f t="shared" si="6"/>
        <v>0</v>
      </c>
      <c r="U35" s="80">
        <f t="shared" si="7"/>
        <v>6867</v>
      </c>
      <c r="V35" s="80">
        <f t="shared" si="25"/>
        <v>6867</v>
      </c>
      <c r="W35" s="80" t="e">
        <f t="shared" si="24"/>
        <v>#DIV/0!</v>
      </c>
      <c r="X35" s="81">
        <v>6867</v>
      </c>
      <c r="Y35" s="81">
        <v>0</v>
      </c>
      <c r="Z35" s="82">
        <f t="shared" ref="Z35:Z38" si="27">SUM(X35:Y35)</f>
        <v>6867</v>
      </c>
      <c r="AA35" s="80" t="e">
        <f t="shared" si="9"/>
        <v>#DIV/0!</v>
      </c>
      <c r="AB35" s="81">
        <v>0</v>
      </c>
      <c r="AC35" s="81">
        <v>0</v>
      </c>
      <c r="AD35" s="82">
        <f t="shared" si="26"/>
        <v>0</v>
      </c>
      <c r="AE35" s="80" t="e">
        <f>AD35/#REF!</f>
        <v>#REF!</v>
      </c>
      <c r="AF35" s="80"/>
      <c r="AG35" s="80"/>
      <c r="AH35" s="80"/>
      <c r="AI35" s="80"/>
      <c r="AJ35" s="28"/>
      <c r="AK35" s="80"/>
      <c r="AL35" s="20"/>
      <c r="AO35">
        <v>202009</v>
      </c>
      <c r="AP35" s="7">
        <f t="shared" si="16"/>
        <v>0</v>
      </c>
      <c r="AQ35" s="7">
        <f t="shared" si="17"/>
        <v>0</v>
      </c>
    </row>
    <row r="36" spans="1:43">
      <c r="A36" s="1">
        <v>2020</v>
      </c>
      <c r="B36" s="1">
        <v>10</v>
      </c>
      <c r="C36" s="68"/>
      <c r="D36" s="34" t="e">
        <f t="shared" si="18"/>
        <v>#DIV/0!</v>
      </c>
      <c r="E36" s="100"/>
      <c r="F36" s="93">
        <f t="shared" si="10"/>
        <v>0</v>
      </c>
      <c r="G36" s="71"/>
      <c r="H36" s="96"/>
      <c r="I36" s="78">
        <v>160</v>
      </c>
      <c r="J36" s="78">
        <v>0</v>
      </c>
      <c r="K36" s="45">
        <f t="shared" si="19"/>
        <v>-160</v>
      </c>
      <c r="L36" s="45">
        <f t="shared" si="19"/>
        <v>0</v>
      </c>
      <c r="M36" s="90">
        <f t="shared" si="11"/>
        <v>0</v>
      </c>
      <c r="N36" s="90">
        <f t="shared" si="12"/>
        <v>0</v>
      </c>
      <c r="O36" s="45">
        <f t="shared" si="20"/>
        <v>0</v>
      </c>
      <c r="P36" s="45">
        <f t="shared" si="21"/>
        <v>0</v>
      </c>
      <c r="Q36" s="45">
        <f t="shared" si="22"/>
        <v>0</v>
      </c>
      <c r="R36" s="78">
        <v>7420000</v>
      </c>
      <c r="S36" s="45">
        <f t="shared" si="23"/>
        <v>-7420000</v>
      </c>
      <c r="T36" s="84">
        <f t="shared" si="6"/>
        <v>0</v>
      </c>
      <c r="U36" s="80">
        <f t="shared" si="7"/>
        <v>6385</v>
      </c>
      <c r="V36" s="80">
        <f t="shared" si="25"/>
        <v>6385</v>
      </c>
      <c r="W36" s="80" t="e">
        <f t="shared" si="24"/>
        <v>#DIV/0!</v>
      </c>
      <c r="X36" s="81">
        <v>6385</v>
      </c>
      <c r="Y36" s="81">
        <v>0</v>
      </c>
      <c r="Z36" s="82">
        <f t="shared" si="27"/>
        <v>6385</v>
      </c>
      <c r="AA36" s="80" t="e">
        <f t="shared" si="9"/>
        <v>#DIV/0!</v>
      </c>
      <c r="AB36" s="81">
        <v>0</v>
      </c>
      <c r="AC36" s="81">
        <v>0</v>
      </c>
      <c r="AD36" s="82">
        <f t="shared" si="26"/>
        <v>0</v>
      </c>
      <c r="AE36" s="80" t="e">
        <f>AD36/#REF!</f>
        <v>#REF!</v>
      </c>
      <c r="AF36" s="80"/>
      <c r="AG36" s="80"/>
      <c r="AH36" s="80"/>
      <c r="AI36" s="80"/>
      <c r="AJ36" s="28"/>
      <c r="AK36" s="80"/>
      <c r="AL36" s="20"/>
      <c r="AO36">
        <v>202010</v>
      </c>
      <c r="AP36" s="7">
        <f t="shared" si="16"/>
        <v>0</v>
      </c>
      <c r="AQ36" s="7">
        <f t="shared" si="17"/>
        <v>0</v>
      </c>
    </row>
    <row r="37" spans="1:43">
      <c r="A37" s="1">
        <v>2020</v>
      </c>
      <c r="B37" s="1">
        <v>11</v>
      </c>
      <c r="C37" s="68"/>
      <c r="D37" s="34" t="e">
        <f t="shared" si="18"/>
        <v>#DIV/0!</v>
      </c>
      <c r="E37" s="100"/>
      <c r="F37" s="93">
        <f t="shared" si="10"/>
        <v>0</v>
      </c>
      <c r="G37" s="71">
        <v>53000</v>
      </c>
      <c r="H37" s="96">
        <v>11000</v>
      </c>
      <c r="I37" s="78">
        <v>160</v>
      </c>
      <c r="J37" s="78">
        <v>0</v>
      </c>
      <c r="K37" s="45">
        <f t="shared" si="19"/>
        <v>52840</v>
      </c>
      <c r="L37" s="45">
        <f t="shared" si="19"/>
        <v>11000</v>
      </c>
      <c r="M37" s="90">
        <f t="shared" si="11"/>
        <v>0</v>
      </c>
      <c r="N37" s="90">
        <f t="shared" si="12"/>
        <v>0</v>
      </c>
      <c r="O37" s="45">
        <f t="shared" si="20"/>
        <v>0</v>
      </c>
      <c r="P37" s="45">
        <f t="shared" si="21"/>
        <v>0</v>
      </c>
      <c r="Q37" s="45">
        <f t="shared" si="22"/>
        <v>0</v>
      </c>
      <c r="R37" s="78">
        <v>7420000</v>
      </c>
      <c r="S37" s="45">
        <f t="shared" si="23"/>
        <v>-7420000</v>
      </c>
      <c r="T37" s="84">
        <f t="shared" si="6"/>
        <v>0</v>
      </c>
      <c r="U37" s="80">
        <f t="shared" si="7"/>
        <v>333892</v>
      </c>
      <c r="V37" s="80">
        <f t="shared" si="25"/>
        <v>333892</v>
      </c>
      <c r="W37" s="80" t="e">
        <f t="shared" si="24"/>
        <v>#DIV/0!</v>
      </c>
      <c r="X37" s="81">
        <v>333892</v>
      </c>
      <c r="Y37" s="81">
        <v>0</v>
      </c>
      <c r="Z37" s="82">
        <f t="shared" si="27"/>
        <v>333892</v>
      </c>
      <c r="AA37" s="80" t="e">
        <f t="shared" si="9"/>
        <v>#DIV/0!</v>
      </c>
      <c r="AB37" s="81">
        <v>0</v>
      </c>
      <c r="AC37" s="81">
        <v>0</v>
      </c>
      <c r="AD37" s="82">
        <f t="shared" si="26"/>
        <v>0</v>
      </c>
      <c r="AE37" s="80" t="e">
        <f>AD37/#REF!</f>
        <v>#REF!</v>
      </c>
      <c r="AF37" s="80"/>
      <c r="AG37" s="80"/>
      <c r="AH37" s="80"/>
      <c r="AI37" s="80">
        <f>SUM(Z26:Z37)</f>
        <v>605234</v>
      </c>
      <c r="AJ37" s="28">
        <f>SUM(C26:C37)</f>
        <v>0</v>
      </c>
      <c r="AK37" s="80" t="e">
        <f t="shared" ref="AK37:AK38" si="28">AI37/AJ37</f>
        <v>#DIV/0!</v>
      </c>
      <c r="AL37" s="20"/>
      <c r="AO37">
        <v>202011</v>
      </c>
      <c r="AP37" s="7">
        <f t="shared" si="16"/>
        <v>0</v>
      </c>
      <c r="AQ37" s="7">
        <f t="shared" si="17"/>
        <v>0</v>
      </c>
    </row>
    <row r="38" spans="1:43">
      <c r="A38" s="1">
        <v>2020</v>
      </c>
      <c r="B38" s="1">
        <v>12</v>
      </c>
      <c r="C38" s="68"/>
      <c r="D38" s="34" t="e">
        <f t="shared" si="18"/>
        <v>#DIV/0!</v>
      </c>
      <c r="E38" s="101"/>
      <c r="F38" s="93">
        <f t="shared" si="10"/>
        <v>0</v>
      </c>
      <c r="G38" s="71"/>
      <c r="H38" s="96"/>
      <c r="I38" s="78"/>
      <c r="J38" s="78"/>
      <c r="K38" s="45"/>
      <c r="L38" s="45"/>
      <c r="M38" s="91"/>
      <c r="N38" s="90">
        <f t="shared" si="12"/>
        <v>0</v>
      </c>
      <c r="O38" s="45"/>
      <c r="P38" s="45"/>
      <c r="Q38" s="45"/>
      <c r="R38" s="78"/>
      <c r="S38" s="45"/>
      <c r="T38" s="84">
        <f t="shared" si="6"/>
        <v>398972</v>
      </c>
      <c r="U38" s="80">
        <f t="shared" si="7"/>
        <v>581552</v>
      </c>
      <c r="V38" s="80">
        <f t="shared" si="25"/>
        <v>980524</v>
      </c>
      <c r="W38" s="80" t="e">
        <f t="shared" si="24"/>
        <v>#DIV/0!</v>
      </c>
      <c r="X38" s="81">
        <v>581552</v>
      </c>
      <c r="Y38" s="81">
        <v>398972</v>
      </c>
      <c r="Z38" s="82">
        <f t="shared" si="27"/>
        <v>980524</v>
      </c>
      <c r="AA38" s="80" t="e">
        <f t="shared" si="9"/>
        <v>#DIV/0!</v>
      </c>
      <c r="AB38" s="81">
        <v>0</v>
      </c>
      <c r="AC38" s="81">
        <v>0</v>
      </c>
      <c r="AD38" s="82">
        <f t="shared" si="26"/>
        <v>0</v>
      </c>
      <c r="AE38" s="80" t="e">
        <f>AD38/#REF!</f>
        <v>#REF!</v>
      </c>
      <c r="AF38" s="80"/>
      <c r="AG38" s="80"/>
      <c r="AH38" s="80"/>
      <c r="AI38" s="80">
        <f t="shared" ref="AI38" si="29">SUM(Z27:Z38)</f>
        <v>1566057</v>
      </c>
      <c r="AJ38" s="28">
        <f t="shared" ref="AJ38:AJ47" si="30">SUM(C27:C38)</f>
        <v>0</v>
      </c>
      <c r="AK38" s="80" t="e">
        <f t="shared" si="28"/>
        <v>#DIV/0!</v>
      </c>
      <c r="AL38" s="20"/>
      <c r="AO38">
        <v>202012</v>
      </c>
      <c r="AP38" s="7">
        <f t="shared" si="16"/>
        <v>0</v>
      </c>
      <c r="AQ38" s="7">
        <f t="shared" si="17"/>
        <v>0</v>
      </c>
    </row>
    <row r="39" spans="1:43">
      <c r="A39" s="1">
        <v>2021</v>
      </c>
      <c r="B39" s="1">
        <v>1</v>
      </c>
      <c r="C39" s="68"/>
      <c r="D39" s="34" t="e">
        <f t="shared" ref="D39" si="31">C39/C27</f>
        <v>#DIV/0!</v>
      </c>
      <c r="E39" s="101"/>
      <c r="F39" s="93">
        <f t="shared" ref="F39" si="32">C39+E39</f>
        <v>0</v>
      </c>
      <c r="G39" s="71"/>
      <c r="H39" s="96"/>
      <c r="I39" s="78"/>
      <c r="J39" s="78"/>
      <c r="K39" s="45"/>
      <c r="L39" s="45"/>
      <c r="M39" s="91"/>
      <c r="N39" s="90">
        <f t="shared" ref="N39" si="33">E39</f>
        <v>0</v>
      </c>
      <c r="O39" s="45"/>
      <c r="P39" s="45"/>
      <c r="Q39" s="45"/>
      <c r="R39" s="78"/>
      <c r="S39" s="45"/>
      <c r="T39" s="84">
        <f t="shared" ref="T39" si="34">Y39+AB39</f>
        <v>599771</v>
      </c>
      <c r="U39" s="80">
        <f t="shared" ref="U39" si="35">X39+AC39</f>
        <v>584627</v>
      </c>
      <c r="V39" s="80">
        <f t="shared" ref="V39" si="36">SUM(T39:U39)</f>
        <v>1184398</v>
      </c>
      <c r="W39" s="80" t="e">
        <f t="shared" ref="W39" si="37">V39/M39</f>
        <v>#DIV/0!</v>
      </c>
      <c r="X39" s="81">
        <v>584627</v>
      </c>
      <c r="Y39" s="81">
        <v>599771</v>
      </c>
      <c r="Z39" s="82">
        <f t="shared" ref="Z39" si="38">SUM(X39:Y39)</f>
        <v>1184398</v>
      </c>
      <c r="AA39" s="80" t="e">
        <f t="shared" ref="AA39" si="39">Z39/M39</f>
        <v>#DIV/0!</v>
      </c>
      <c r="AB39" s="81">
        <v>0</v>
      </c>
      <c r="AC39" s="81">
        <v>0</v>
      </c>
      <c r="AD39" s="82">
        <f t="shared" ref="AD39" si="40">SUM(AB39:AC39)</f>
        <v>0</v>
      </c>
      <c r="AE39" s="80" t="e">
        <f>AD39/#REF!</f>
        <v>#REF!</v>
      </c>
      <c r="AF39" s="81">
        <v>406156</v>
      </c>
      <c r="AG39" s="81">
        <v>347415</v>
      </c>
      <c r="AH39" s="82">
        <f t="shared" ref="AH39:AH40" si="41">SUM(AF39:AG39)</f>
        <v>753571</v>
      </c>
      <c r="AI39" s="80">
        <f t="shared" ref="AI39:AI44" si="42">SUM(Z28:Z39)+SUM(AH28:AH39)</f>
        <v>3469934</v>
      </c>
      <c r="AJ39" s="28">
        <f t="shared" si="30"/>
        <v>0</v>
      </c>
      <c r="AK39" s="80" t="e">
        <f t="shared" ref="AK39" si="43">AI39/AJ39</f>
        <v>#DIV/0!</v>
      </c>
      <c r="AL39" s="20"/>
      <c r="AO39">
        <v>202101</v>
      </c>
      <c r="AP39" s="7">
        <f t="shared" ref="AP39:AP40" si="44">AVERAGE(M37:M39)</f>
        <v>0</v>
      </c>
      <c r="AQ39" s="7">
        <f t="shared" ref="AQ39:AQ40" si="45">AVERAGE(M34:M39)</f>
        <v>0</v>
      </c>
    </row>
    <row r="40" spans="1:43">
      <c r="A40" s="1">
        <v>2021</v>
      </c>
      <c r="B40" s="1">
        <v>2</v>
      </c>
      <c r="C40" s="68"/>
      <c r="D40" s="34" t="e">
        <f t="shared" ref="D40" si="46">C40/C28</f>
        <v>#DIV/0!</v>
      </c>
      <c r="E40" s="101"/>
      <c r="F40" s="93">
        <f t="shared" ref="F40" si="47">C40+E40</f>
        <v>0</v>
      </c>
      <c r="G40" s="71"/>
      <c r="H40" s="96"/>
      <c r="I40" s="78"/>
      <c r="J40" s="78"/>
      <c r="K40" s="45"/>
      <c r="L40" s="45"/>
      <c r="M40" s="91"/>
      <c r="N40" s="90">
        <f t="shared" ref="N40" si="48">E40</f>
        <v>0</v>
      </c>
      <c r="O40" s="45"/>
      <c r="P40" s="45"/>
      <c r="Q40" s="45"/>
      <c r="R40" s="78"/>
      <c r="S40" s="45"/>
      <c r="T40" s="84">
        <f t="shared" ref="T40" si="49">Y40+AB40</f>
        <v>147656</v>
      </c>
      <c r="U40" s="80">
        <f t="shared" ref="U40" si="50">X40+AC40</f>
        <v>147257</v>
      </c>
      <c r="V40" s="80">
        <f t="shared" ref="V40" si="51">SUM(T40:U40)</f>
        <v>294913</v>
      </c>
      <c r="W40" s="80" t="e">
        <f t="shared" ref="W40" si="52">V40/M40</f>
        <v>#DIV/0!</v>
      </c>
      <c r="X40" s="81">
        <v>147257</v>
      </c>
      <c r="Y40" s="81">
        <v>147656</v>
      </c>
      <c r="Z40" s="82">
        <f t="shared" ref="Z40" si="53">SUM(X40:Y40)</f>
        <v>294913</v>
      </c>
      <c r="AA40" s="80" t="e">
        <f t="shared" ref="AA40" si="54">Z40/M40</f>
        <v>#DIV/0!</v>
      </c>
      <c r="AB40" s="81">
        <v>0</v>
      </c>
      <c r="AC40" s="81">
        <v>0</v>
      </c>
      <c r="AD40" s="82">
        <f t="shared" ref="AD40" si="55">SUM(AB40:AC40)</f>
        <v>0</v>
      </c>
      <c r="AE40" s="80" t="e">
        <f>AD40/#REF!</f>
        <v>#REF!</v>
      </c>
      <c r="AF40" s="81">
        <v>1069683</v>
      </c>
      <c r="AG40" s="81">
        <v>1048202</v>
      </c>
      <c r="AH40" s="82">
        <f t="shared" si="41"/>
        <v>2117885</v>
      </c>
      <c r="AI40" s="80">
        <f t="shared" si="42"/>
        <v>5838477</v>
      </c>
      <c r="AJ40" s="28">
        <f t="shared" si="30"/>
        <v>0</v>
      </c>
      <c r="AK40" s="80" t="e">
        <f t="shared" ref="AK40" si="56">AI40/AJ40</f>
        <v>#DIV/0!</v>
      </c>
      <c r="AL40" s="20"/>
      <c r="AO40">
        <v>202102</v>
      </c>
      <c r="AP40" s="7" t="e">
        <f t="shared" si="44"/>
        <v>#DIV/0!</v>
      </c>
      <c r="AQ40" s="7">
        <f t="shared" si="45"/>
        <v>0</v>
      </c>
    </row>
    <row r="41" spans="1:43">
      <c r="A41" s="1">
        <v>2021</v>
      </c>
      <c r="B41" s="1">
        <v>3</v>
      </c>
      <c r="C41" s="68"/>
      <c r="D41" s="34" t="e">
        <f t="shared" ref="D41" si="57">C41/C29</f>
        <v>#DIV/0!</v>
      </c>
      <c r="E41" s="101"/>
      <c r="F41" s="93">
        <f t="shared" ref="F41" si="58">C41+E41</f>
        <v>0</v>
      </c>
      <c r="G41" s="71"/>
      <c r="H41" s="96"/>
      <c r="I41" s="78"/>
      <c r="J41" s="78"/>
      <c r="K41" s="45"/>
      <c r="L41" s="45"/>
      <c r="M41" s="91"/>
      <c r="N41" s="90">
        <f t="shared" ref="N41" si="59">E41</f>
        <v>0</v>
      </c>
      <c r="O41" s="45"/>
      <c r="P41" s="45"/>
      <c r="Q41" s="45"/>
      <c r="R41" s="78"/>
      <c r="S41" s="45"/>
      <c r="T41" s="84">
        <f t="shared" ref="T41" si="60">Y41+AB41</f>
        <v>372480</v>
      </c>
      <c r="U41" s="80">
        <f t="shared" ref="U41" si="61">X41+AC41</f>
        <v>432027</v>
      </c>
      <c r="V41" s="80">
        <f t="shared" ref="V41" si="62">SUM(T41:U41)</f>
        <v>804507</v>
      </c>
      <c r="W41" s="80" t="e">
        <f t="shared" ref="W41" si="63">V41/M41</f>
        <v>#DIV/0!</v>
      </c>
      <c r="X41" s="81">
        <v>432027</v>
      </c>
      <c r="Y41" s="81">
        <v>372480</v>
      </c>
      <c r="Z41" s="82">
        <f t="shared" ref="Z41" si="64">SUM(X41:Y41)</f>
        <v>804507</v>
      </c>
      <c r="AA41" s="80" t="e">
        <f t="shared" ref="AA41" si="65">Z41/M41</f>
        <v>#DIV/0!</v>
      </c>
      <c r="AB41" s="81">
        <v>0</v>
      </c>
      <c r="AC41" s="81">
        <v>0</v>
      </c>
      <c r="AD41" s="82">
        <f t="shared" ref="AD41" si="66">SUM(AB41:AC41)</f>
        <v>0</v>
      </c>
      <c r="AE41" s="80" t="e">
        <f>AD41/#REF!</f>
        <v>#REF!</v>
      </c>
      <c r="AF41" s="81">
        <v>608996</v>
      </c>
      <c r="AG41" s="81">
        <v>1016301</v>
      </c>
      <c r="AH41" s="82">
        <f t="shared" ref="AH41" si="67">SUM(AF41:AG41)</f>
        <v>1625297</v>
      </c>
      <c r="AI41" s="80">
        <f t="shared" si="42"/>
        <v>8213473</v>
      </c>
      <c r="AJ41" s="28">
        <f t="shared" si="30"/>
        <v>0</v>
      </c>
      <c r="AK41" s="80" t="e">
        <f t="shared" ref="AK41" si="68">AI41/AJ41</f>
        <v>#DIV/0!</v>
      </c>
      <c r="AL41" s="20"/>
      <c r="AO41">
        <v>202103</v>
      </c>
      <c r="AP41" s="7" t="e">
        <f t="shared" ref="AP41:AP47" si="69">AVERAGE(M39:M41)</f>
        <v>#DIV/0!</v>
      </c>
      <c r="AQ41" s="7">
        <f t="shared" ref="AQ41:AQ47" si="70">AVERAGE(M36:M41)</f>
        <v>0</v>
      </c>
    </row>
    <row r="42" spans="1:43">
      <c r="A42" s="1">
        <v>2021</v>
      </c>
      <c r="B42" s="1">
        <v>4</v>
      </c>
      <c r="C42" s="68"/>
      <c r="D42" s="34" t="e">
        <f t="shared" ref="D42" si="71">C42/C30</f>
        <v>#DIV/0!</v>
      </c>
      <c r="E42" s="101"/>
      <c r="F42" s="93">
        <f t="shared" ref="F42" si="72">C42+E42</f>
        <v>0</v>
      </c>
      <c r="G42" s="71"/>
      <c r="H42" s="96"/>
      <c r="I42" s="78"/>
      <c r="J42" s="78"/>
      <c r="K42" s="45"/>
      <c r="L42" s="45"/>
      <c r="M42" s="91"/>
      <c r="N42" s="90">
        <f t="shared" ref="N42" si="73">E42</f>
        <v>0</v>
      </c>
      <c r="O42" s="45"/>
      <c r="P42" s="45"/>
      <c r="Q42" s="45"/>
      <c r="R42" s="78"/>
      <c r="S42" s="45"/>
      <c r="T42" s="84">
        <f t="shared" ref="T42" si="74">Y42+AB42</f>
        <v>471741</v>
      </c>
      <c r="U42" s="80">
        <f t="shared" ref="U42" si="75">X42+AC42</f>
        <v>373201</v>
      </c>
      <c r="V42" s="80">
        <f t="shared" ref="V42" si="76">SUM(T42:U42)</f>
        <v>844942</v>
      </c>
      <c r="W42" s="80" t="e">
        <f t="shared" ref="W42" si="77">V42/M42</f>
        <v>#DIV/0!</v>
      </c>
      <c r="X42" s="81">
        <v>373201</v>
      </c>
      <c r="Y42" s="81">
        <v>471741</v>
      </c>
      <c r="Z42" s="82">
        <f t="shared" ref="Z42" si="78">SUM(X42:Y42)</f>
        <v>844942</v>
      </c>
      <c r="AA42" s="80" t="e">
        <f t="shared" ref="AA42" si="79">Z42/M42</f>
        <v>#DIV/0!</v>
      </c>
      <c r="AB42" s="81">
        <v>0</v>
      </c>
      <c r="AC42" s="81">
        <v>0</v>
      </c>
      <c r="AD42" s="82">
        <f t="shared" ref="AD42" si="80">SUM(AB42:AC42)</f>
        <v>0</v>
      </c>
      <c r="AE42" s="80" t="e">
        <f>AD42/#REF!</f>
        <v>#REF!</v>
      </c>
      <c r="AF42" s="81"/>
      <c r="AG42" s="81"/>
      <c r="AH42" s="82">
        <f t="shared" ref="AH42" si="81">SUM(AF42:AG42)</f>
        <v>0</v>
      </c>
      <c r="AI42" s="80">
        <f t="shared" si="42"/>
        <v>9015150</v>
      </c>
      <c r="AJ42" s="28">
        <f t="shared" si="30"/>
        <v>0</v>
      </c>
      <c r="AK42" s="80" t="e">
        <f t="shared" ref="AK42" si="82">AI42/AJ42</f>
        <v>#DIV/0!</v>
      </c>
      <c r="AL42" s="20"/>
      <c r="AO42">
        <v>202104</v>
      </c>
      <c r="AP42" s="7" t="e">
        <f t="shared" si="69"/>
        <v>#DIV/0!</v>
      </c>
      <c r="AQ42" s="7">
        <f t="shared" si="70"/>
        <v>0</v>
      </c>
    </row>
    <row r="43" spans="1:43">
      <c r="A43" s="1">
        <v>2021</v>
      </c>
      <c r="B43" s="1">
        <v>5</v>
      </c>
      <c r="C43" s="68"/>
      <c r="D43" s="34" t="e">
        <f t="shared" ref="D43" si="83">C43/C31</f>
        <v>#DIV/0!</v>
      </c>
      <c r="E43" s="101"/>
      <c r="F43" s="93">
        <f t="shared" ref="F43" si="84">C43+E43</f>
        <v>0</v>
      </c>
      <c r="G43" s="71"/>
      <c r="H43" s="96"/>
      <c r="I43" s="78"/>
      <c r="J43" s="78"/>
      <c r="K43" s="45"/>
      <c r="L43" s="45"/>
      <c r="M43" s="91"/>
      <c r="N43" s="90">
        <f t="shared" ref="N43" si="85">E43</f>
        <v>0</v>
      </c>
      <c r="O43" s="45"/>
      <c r="P43" s="45"/>
      <c r="Q43" s="45"/>
      <c r="R43" s="78"/>
      <c r="S43" s="45"/>
      <c r="T43" s="84">
        <f t="shared" ref="T43" si="86">Y43+AB43</f>
        <v>220347</v>
      </c>
      <c r="U43" s="80">
        <f t="shared" ref="U43" si="87">X43+AC43</f>
        <v>119071</v>
      </c>
      <c r="V43" s="80">
        <f t="shared" ref="V43" si="88">SUM(T43:U43)</f>
        <v>339418</v>
      </c>
      <c r="W43" s="80" t="e">
        <f t="shared" ref="W43" si="89">V43/M43</f>
        <v>#DIV/0!</v>
      </c>
      <c r="X43" s="81">
        <v>119071</v>
      </c>
      <c r="Y43" s="81">
        <v>220347</v>
      </c>
      <c r="Z43" s="82">
        <f t="shared" ref="Z43" si="90">SUM(X43:Y43)</f>
        <v>339418</v>
      </c>
      <c r="AA43" s="80" t="e">
        <f t="shared" ref="AA43" si="91">Z43/M43</f>
        <v>#DIV/0!</v>
      </c>
      <c r="AB43" s="81">
        <v>0</v>
      </c>
      <c r="AC43" s="81">
        <v>0</v>
      </c>
      <c r="AD43" s="82">
        <f t="shared" ref="AD43" si="92">SUM(AB43:AC43)</f>
        <v>0</v>
      </c>
      <c r="AE43" s="80" t="e">
        <f>AD43/#REF!</f>
        <v>#REF!</v>
      </c>
      <c r="AF43" s="81"/>
      <c r="AG43" s="81"/>
      <c r="AH43" s="82">
        <f t="shared" ref="AH43" si="93">SUM(AF43:AG43)</f>
        <v>0</v>
      </c>
      <c r="AI43" s="80">
        <f t="shared" si="42"/>
        <v>9337146</v>
      </c>
      <c r="AJ43" s="28">
        <f t="shared" si="30"/>
        <v>0</v>
      </c>
      <c r="AK43" s="80" t="e">
        <f t="shared" ref="AK43" si="94">AI43/AJ43</f>
        <v>#DIV/0!</v>
      </c>
      <c r="AL43" s="20"/>
      <c r="AO43">
        <v>202105</v>
      </c>
      <c r="AP43" s="7" t="e">
        <f t="shared" si="69"/>
        <v>#DIV/0!</v>
      </c>
      <c r="AQ43" s="7" t="e">
        <f t="shared" si="70"/>
        <v>#DIV/0!</v>
      </c>
    </row>
    <row r="44" spans="1:43">
      <c r="A44" s="1">
        <v>2021</v>
      </c>
      <c r="B44" s="1">
        <v>6</v>
      </c>
      <c r="C44" s="68"/>
      <c r="D44" s="34" t="e">
        <f t="shared" ref="D44" si="95">C44/C32</f>
        <v>#DIV/0!</v>
      </c>
      <c r="E44" s="101"/>
      <c r="F44" s="93">
        <f t="shared" ref="F44" si="96">C44+E44</f>
        <v>0</v>
      </c>
      <c r="G44" s="71"/>
      <c r="H44" s="96"/>
      <c r="I44" s="78"/>
      <c r="J44" s="78"/>
      <c r="K44" s="45"/>
      <c r="L44" s="45"/>
      <c r="M44" s="91"/>
      <c r="N44" s="90">
        <f t="shared" ref="N44" si="97">E44</f>
        <v>0</v>
      </c>
      <c r="O44" s="45"/>
      <c r="P44" s="45"/>
      <c r="Q44" s="45"/>
      <c r="R44" s="78"/>
      <c r="S44" s="45"/>
      <c r="T44" s="84">
        <f t="shared" ref="T44" si="98">Y44+AB44</f>
        <v>270315</v>
      </c>
      <c r="U44" s="80">
        <f t="shared" ref="U44" si="99">X44+AC44</f>
        <v>235848</v>
      </c>
      <c r="V44" s="80">
        <f t="shared" ref="V44" si="100">SUM(T44:U44)</f>
        <v>506163</v>
      </c>
      <c r="W44" s="80" t="e">
        <f t="shared" ref="W44" si="101">V44/M44</f>
        <v>#DIV/0!</v>
      </c>
      <c r="X44" s="81">
        <v>235848</v>
      </c>
      <c r="Y44" s="81">
        <v>270315</v>
      </c>
      <c r="Z44" s="82">
        <f t="shared" ref="Z44" si="102">SUM(X44:Y44)</f>
        <v>506163</v>
      </c>
      <c r="AA44" s="80" t="e">
        <f t="shared" ref="AA44" si="103">Z44/M44</f>
        <v>#DIV/0!</v>
      </c>
      <c r="AB44" s="81">
        <v>0</v>
      </c>
      <c r="AC44" s="81">
        <v>0</v>
      </c>
      <c r="AD44" s="82">
        <f t="shared" ref="AD44" si="104">SUM(AB44:AC44)</f>
        <v>0</v>
      </c>
      <c r="AE44" s="80" t="e">
        <f>AD44/#REF!</f>
        <v>#REF!</v>
      </c>
      <c r="AF44" s="81"/>
      <c r="AG44" s="81"/>
      <c r="AH44" s="82">
        <f t="shared" ref="AH44" si="105">SUM(AF44:AG44)</f>
        <v>0</v>
      </c>
      <c r="AI44" s="80">
        <f t="shared" si="42"/>
        <v>9822321</v>
      </c>
      <c r="AJ44" s="28">
        <f t="shared" si="30"/>
        <v>0</v>
      </c>
      <c r="AK44" s="80" t="e">
        <f t="shared" ref="AK44" si="106">AI44/AJ44</f>
        <v>#DIV/0!</v>
      </c>
      <c r="AL44" s="20"/>
      <c r="AO44">
        <v>202106</v>
      </c>
      <c r="AP44" s="7" t="e">
        <f t="shared" si="69"/>
        <v>#DIV/0!</v>
      </c>
      <c r="AQ44" s="7" t="e">
        <f t="shared" si="70"/>
        <v>#DIV/0!</v>
      </c>
    </row>
    <row r="45" spans="1:43">
      <c r="A45" s="1">
        <v>2021</v>
      </c>
      <c r="B45" s="1">
        <v>7</v>
      </c>
      <c r="C45" s="68"/>
      <c r="D45" s="34" t="e">
        <f t="shared" ref="D45:D46" si="107">C45/C33</f>
        <v>#DIV/0!</v>
      </c>
      <c r="E45" s="101"/>
      <c r="F45" s="93">
        <f t="shared" ref="F45:F46" si="108">C45+E45</f>
        <v>0</v>
      </c>
      <c r="G45" s="71"/>
      <c r="H45" s="96"/>
      <c r="I45" s="78"/>
      <c r="J45" s="78"/>
      <c r="K45" s="45"/>
      <c r="L45" s="45"/>
      <c r="M45" s="91"/>
      <c r="N45" s="90">
        <f t="shared" ref="N45:N46" si="109">E45</f>
        <v>0</v>
      </c>
      <c r="O45" s="45"/>
      <c r="P45" s="45"/>
      <c r="Q45" s="45"/>
      <c r="R45" s="78"/>
      <c r="S45" s="45"/>
      <c r="T45" s="84">
        <f t="shared" ref="T45:T46" si="110">Y45+AB45</f>
        <v>688528</v>
      </c>
      <c r="U45" s="80">
        <f t="shared" ref="U45:U46" si="111">X45+AC45</f>
        <v>577946</v>
      </c>
      <c r="V45" s="80">
        <f t="shared" ref="V45:V46" si="112">SUM(T45:U45)</f>
        <v>1266474</v>
      </c>
      <c r="W45" s="80" t="e">
        <f t="shared" ref="W45:W46" si="113">V45/M45</f>
        <v>#DIV/0!</v>
      </c>
      <c r="X45" s="81">
        <v>577946</v>
      </c>
      <c r="Y45" s="81">
        <v>688528</v>
      </c>
      <c r="Z45" s="82">
        <f t="shared" ref="Z45:Z46" si="114">SUM(X45:Y45)</f>
        <v>1266474</v>
      </c>
      <c r="AA45" s="80" t="e">
        <f t="shared" ref="AA45:AA46" si="115">Z45/M45</f>
        <v>#DIV/0!</v>
      </c>
      <c r="AB45" s="81">
        <v>0</v>
      </c>
      <c r="AC45" s="81">
        <v>0</v>
      </c>
      <c r="AD45" s="82">
        <f t="shared" ref="AD45:AD46" si="116">SUM(AB45:AC45)</f>
        <v>0</v>
      </c>
      <c r="AE45" s="80" t="e">
        <f>AD45/#REF!</f>
        <v>#REF!</v>
      </c>
      <c r="AF45" s="81"/>
      <c r="AG45" s="81"/>
      <c r="AH45" s="82">
        <f t="shared" ref="AH45:AH46" si="117">SUM(AF45:AG45)</f>
        <v>0</v>
      </c>
      <c r="AI45" s="80">
        <f t="shared" ref="AI45:AI46" si="118">SUM(Z34:Z45)+SUM(AH34:AH45)</f>
        <v>11074643</v>
      </c>
      <c r="AJ45" s="28">
        <f t="shared" si="30"/>
        <v>0</v>
      </c>
      <c r="AK45" s="80" t="e">
        <f t="shared" ref="AK45:AK46" si="119">AI45/AJ45</f>
        <v>#DIV/0!</v>
      </c>
      <c r="AL45" s="20"/>
      <c r="AO45">
        <v>202107</v>
      </c>
      <c r="AP45" s="7" t="e">
        <f t="shared" si="69"/>
        <v>#DIV/0!</v>
      </c>
      <c r="AQ45" s="7" t="e">
        <f t="shared" si="70"/>
        <v>#DIV/0!</v>
      </c>
    </row>
    <row r="46" spans="1:43">
      <c r="A46" s="1">
        <v>2021</v>
      </c>
      <c r="B46" s="1">
        <v>8</v>
      </c>
      <c r="C46" s="68"/>
      <c r="D46" s="34" t="e">
        <f t="shared" si="107"/>
        <v>#DIV/0!</v>
      </c>
      <c r="E46" s="101"/>
      <c r="F46" s="93">
        <f t="shared" si="108"/>
        <v>0</v>
      </c>
      <c r="G46" s="71"/>
      <c r="H46" s="96"/>
      <c r="I46" s="78"/>
      <c r="J46" s="78"/>
      <c r="K46" s="45"/>
      <c r="L46" s="45"/>
      <c r="M46" s="91"/>
      <c r="N46" s="90">
        <f t="shared" si="109"/>
        <v>0</v>
      </c>
      <c r="O46" s="45"/>
      <c r="P46" s="45"/>
      <c r="Q46" s="45"/>
      <c r="R46" s="78"/>
      <c r="S46" s="45"/>
      <c r="T46" s="84">
        <f t="shared" si="110"/>
        <v>620963</v>
      </c>
      <c r="U46" s="80">
        <f t="shared" si="111"/>
        <v>468680</v>
      </c>
      <c r="V46" s="80">
        <f t="shared" si="112"/>
        <v>1089643</v>
      </c>
      <c r="W46" s="80" t="e">
        <f t="shared" si="113"/>
        <v>#DIV/0!</v>
      </c>
      <c r="X46" s="81">
        <v>468680</v>
      </c>
      <c r="Y46" s="81">
        <v>620963</v>
      </c>
      <c r="Z46" s="82">
        <f t="shared" si="114"/>
        <v>1089643</v>
      </c>
      <c r="AA46" s="80" t="e">
        <f t="shared" si="115"/>
        <v>#DIV/0!</v>
      </c>
      <c r="AB46" s="81">
        <v>0</v>
      </c>
      <c r="AC46" s="81">
        <v>0</v>
      </c>
      <c r="AD46" s="82">
        <f t="shared" si="116"/>
        <v>0</v>
      </c>
      <c r="AE46" s="80" t="e">
        <f>AD46/#REF!</f>
        <v>#REF!</v>
      </c>
      <c r="AF46" s="81"/>
      <c r="AG46" s="81"/>
      <c r="AH46" s="82">
        <f t="shared" si="117"/>
        <v>0</v>
      </c>
      <c r="AI46" s="80">
        <f t="shared" si="118"/>
        <v>12154879</v>
      </c>
      <c r="AJ46" s="28">
        <f t="shared" si="30"/>
        <v>0</v>
      </c>
      <c r="AK46" s="80" t="e">
        <f t="shared" si="119"/>
        <v>#DIV/0!</v>
      </c>
      <c r="AL46" s="20"/>
      <c r="AO46">
        <v>202108</v>
      </c>
      <c r="AP46" s="7" t="e">
        <f t="shared" si="69"/>
        <v>#DIV/0!</v>
      </c>
      <c r="AQ46" s="7" t="e">
        <f t="shared" si="70"/>
        <v>#DIV/0!</v>
      </c>
    </row>
    <row r="47" spans="1:43">
      <c r="A47" s="1">
        <v>2021</v>
      </c>
      <c r="B47" s="1">
        <v>9</v>
      </c>
      <c r="C47" s="68"/>
      <c r="D47" s="34" t="e">
        <f t="shared" ref="D47" si="120">C47/C35</f>
        <v>#DIV/0!</v>
      </c>
      <c r="E47" s="101"/>
      <c r="F47" s="93">
        <f t="shared" ref="F47" si="121">C47+E47</f>
        <v>0</v>
      </c>
      <c r="G47" s="71">
        <v>52000</v>
      </c>
      <c r="H47" s="96"/>
      <c r="I47" s="78">
        <v>160</v>
      </c>
      <c r="J47" s="78">
        <v>0</v>
      </c>
      <c r="K47" s="45">
        <f t="shared" ref="K47:L47" si="122">G47-I47</f>
        <v>51840</v>
      </c>
      <c r="L47" s="45">
        <f t="shared" si="122"/>
        <v>0</v>
      </c>
      <c r="M47" s="90">
        <f t="shared" ref="M47" si="123">C47</f>
        <v>0</v>
      </c>
      <c r="N47" s="90">
        <f t="shared" ref="N47" si="124">E47</f>
        <v>0</v>
      </c>
      <c r="O47" s="45">
        <f t="shared" ref="O47" si="125">G47*M47+H47*N47</f>
        <v>0</v>
      </c>
      <c r="P47" s="45">
        <f t="shared" ref="P47" si="126">I47*M47+J47*N47</f>
        <v>0</v>
      </c>
      <c r="Q47" s="45">
        <f t="shared" ref="Q47" si="127">K47*M47+L47*N47</f>
        <v>0</v>
      </c>
      <c r="R47" s="78">
        <v>7420000</v>
      </c>
      <c r="S47" s="45">
        <f t="shared" ref="S47" si="128">Q47-R47</f>
        <v>-7420000</v>
      </c>
      <c r="T47" s="84">
        <f t="shared" ref="T47" si="129">Y47+AB47</f>
        <v>310272</v>
      </c>
      <c r="U47" s="80">
        <f t="shared" ref="U47" si="130">X47+AC47</f>
        <v>352182</v>
      </c>
      <c r="V47" s="80">
        <f t="shared" ref="V47" si="131">SUM(T47:U47)</f>
        <v>662454</v>
      </c>
      <c r="W47" s="80" t="e">
        <f t="shared" ref="W47" si="132">V47/M47</f>
        <v>#DIV/0!</v>
      </c>
      <c r="X47" s="81">
        <v>352182</v>
      </c>
      <c r="Y47" s="81">
        <v>310272</v>
      </c>
      <c r="Z47" s="82">
        <f t="shared" ref="Z47" si="133">SUM(X47:Y47)</f>
        <v>662454</v>
      </c>
      <c r="AA47" s="80" t="e">
        <f t="shared" ref="AA47" si="134">Z47/M47</f>
        <v>#DIV/0!</v>
      </c>
      <c r="AB47" s="81">
        <v>0</v>
      </c>
      <c r="AC47" s="81">
        <v>0</v>
      </c>
      <c r="AD47" s="82">
        <f t="shared" ref="AD47" si="135">SUM(AB47:AC47)</f>
        <v>0</v>
      </c>
      <c r="AE47" s="80" t="e">
        <f>AD47/#REF!</f>
        <v>#REF!</v>
      </c>
      <c r="AF47" s="81"/>
      <c r="AG47" s="81"/>
      <c r="AH47" s="82">
        <f t="shared" ref="AH47" si="136">SUM(AF47:AG47)</f>
        <v>0</v>
      </c>
      <c r="AI47" s="80">
        <f t="shared" ref="AI47" si="137">SUM(Z36:Z47)+SUM(AH36:AH47)</f>
        <v>12810466</v>
      </c>
      <c r="AJ47" s="28">
        <f t="shared" si="30"/>
        <v>0</v>
      </c>
      <c r="AK47" s="80" t="e">
        <f t="shared" ref="AK47" si="138">AI47/AJ47</f>
        <v>#DIV/0!</v>
      </c>
      <c r="AL47" s="20"/>
      <c r="AO47">
        <v>202109</v>
      </c>
      <c r="AP47" s="7">
        <f t="shared" si="69"/>
        <v>0</v>
      </c>
      <c r="AQ47" s="7">
        <f t="shared" si="70"/>
        <v>0</v>
      </c>
    </row>
    <row r="48" spans="1:43">
      <c r="A48" s="1">
        <v>2021</v>
      </c>
      <c r="B48" s="1">
        <v>10</v>
      </c>
      <c r="C48" s="68"/>
      <c r="D48" s="34" t="e">
        <f t="shared" ref="D48" si="139">C48/C36</f>
        <v>#DIV/0!</v>
      </c>
      <c r="E48" s="101"/>
      <c r="F48" s="93">
        <f t="shared" ref="F48" si="140">C48+E48</f>
        <v>0</v>
      </c>
      <c r="G48" s="71">
        <v>42000</v>
      </c>
      <c r="H48" s="96"/>
      <c r="I48" s="78">
        <v>160</v>
      </c>
      <c r="J48" s="78">
        <v>0</v>
      </c>
      <c r="K48" s="45">
        <f t="shared" ref="K48" si="141">G48-I48</f>
        <v>41840</v>
      </c>
      <c r="L48" s="45">
        <f t="shared" ref="L48" si="142">H48-J48</f>
        <v>0</v>
      </c>
      <c r="M48" s="90">
        <f t="shared" ref="M48" si="143">C48</f>
        <v>0</v>
      </c>
      <c r="N48" s="90">
        <f t="shared" ref="N48" si="144">E48</f>
        <v>0</v>
      </c>
      <c r="O48" s="45">
        <f t="shared" ref="O48" si="145">G48*M48+H48*N48</f>
        <v>0</v>
      </c>
      <c r="P48" s="45">
        <f t="shared" ref="P48" si="146">I48*M48+J48*N48</f>
        <v>0</v>
      </c>
      <c r="Q48" s="45">
        <f t="shared" ref="Q48" si="147">K48*M48+L48*N48</f>
        <v>0</v>
      </c>
      <c r="R48" s="78">
        <v>7420000</v>
      </c>
      <c r="S48" s="45">
        <f t="shared" ref="S48" si="148">Q48-R48</f>
        <v>-7420000</v>
      </c>
      <c r="T48" s="84">
        <f t="shared" ref="T48" si="149">Y48+AB48</f>
        <v>138124</v>
      </c>
      <c r="U48" s="80">
        <f t="shared" ref="U48" si="150">X48+AC48</f>
        <v>99186</v>
      </c>
      <c r="V48" s="80">
        <f t="shared" ref="V48" si="151">SUM(T48:U48)</f>
        <v>237310</v>
      </c>
      <c r="W48" s="80" t="e">
        <f t="shared" ref="W48" si="152">V48/M48</f>
        <v>#DIV/0!</v>
      </c>
      <c r="X48" s="81">
        <v>99186</v>
      </c>
      <c r="Y48" s="81">
        <v>138124</v>
      </c>
      <c r="Z48" s="82">
        <f t="shared" ref="Z48" si="153">SUM(X48:Y48)</f>
        <v>237310</v>
      </c>
      <c r="AA48" s="80" t="e">
        <f t="shared" ref="AA48" si="154">Z48/M48</f>
        <v>#DIV/0!</v>
      </c>
      <c r="AB48" s="81">
        <v>0</v>
      </c>
      <c r="AC48" s="81">
        <v>0</v>
      </c>
      <c r="AD48" s="82">
        <f t="shared" ref="AD48" si="155">SUM(AB48:AC48)</f>
        <v>0</v>
      </c>
      <c r="AE48" s="80" t="e">
        <f>AD48/#REF!</f>
        <v>#REF!</v>
      </c>
      <c r="AF48" s="81"/>
      <c r="AG48" s="81"/>
      <c r="AH48" s="82">
        <f t="shared" ref="AH48" si="156">SUM(AF48:AG48)</f>
        <v>0</v>
      </c>
      <c r="AI48" s="80">
        <f t="shared" ref="AI48" si="157">SUM(Z37:Z48)+SUM(AH37:AH48)</f>
        <v>13041391</v>
      </c>
      <c r="AJ48" s="28">
        <f t="shared" ref="AJ48" si="158">SUM(C37:C48)</f>
        <v>0</v>
      </c>
      <c r="AK48" s="80" t="e">
        <f t="shared" ref="AK48" si="159">AI48/AJ48</f>
        <v>#DIV/0!</v>
      </c>
      <c r="AL48" s="20"/>
      <c r="AO48">
        <v>202109</v>
      </c>
      <c r="AP48" s="7">
        <f t="shared" ref="AP48" si="160">AVERAGE(M46:M48)</f>
        <v>0</v>
      </c>
      <c r="AQ48" s="7">
        <f t="shared" ref="AQ48" si="161">AVERAGE(M43:M48)</f>
        <v>0</v>
      </c>
    </row>
    <row r="49" spans="1:43">
      <c r="A49" s="1">
        <v>2021</v>
      </c>
      <c r="B49" s="1">
        <v>11</v>
      </c>
      <c r="C49" s="68"/>
      <c r="D49" s="34" t="e">
        <f t="shared" ref="D49" si="162">C49/C37</f>
        <v>#DIV/0!</v>
      </c>
      <c r="E49" s="101"/>
      <c r="F49" s="93">
        <f t="shared" ref="F49" si="163">C49+E49</f>
        <v>0</v>
      </c>
      <c r="G49" s="71">
        <v>42000</v>
      </c>
      <c r="H49" s="96"/>
      <c r="I49" s="78">
        <v>160</v>
      </c>
      <c r="J49" s="78">
        <v>0</v>
      </c>
      <c r="K49" s="45">
        <f t="shared" ref="K49" si="164">G49-I49</f>
        <v>41840</v>
      </c>
      <c r="L49" s="45">
        <f t="shared" ref="L49" si="165">H49-J49</f>
        <v>0</v>
      </c>
      <c r="M49" s="90">
        <f t="shared" ref="M49" si="166">C49</f>
        <v>0</v>
      </c>
      <c r="N49" s="90">
        <f t="shared" ref="N49" si="167">E49</f>
        <v>0</v>
      </c>
      <c r="O49" s="45">
        <f t="shared" ref="O49" si="168">G49*M49+H49*N49</f>
        <v>0</v>
      </c>
      <c r="P49" s="45">
        <f t="shared" ref="P49" si="169">I49*M49+J49*N49</f>
        <v>0</v>
      </c>
      <c r="Q49" s="45">
        <f t="shared" ref="Q49" si="170">K49*M49+L49*N49</f>
        <v>0</v>
      </c>
      <c r="R49" s="78">
        <v>7420000</v>
      </c>
      <c r="S49" s="45">
        <f t="shared" ref="S49" si="171">Q49-R49</f>
        <v>-7420000</v>
      </c>
      <c r="T49" s="84">
        <f t="shared" ref="T49" si="172">Y49+AB49</f>
        <v>70001</v>
      </c>
      <c r="U49" s="80">
        <f t="shared" ref="U49" si="173">X49+AC49</f>
        <v>54840</v>
      </c>
      <c r="V49" s="80">
        <f t="shared" ref="V49" si="174">SUM(T49:U49)</f>
        <v>124841</v>
      </c>
      <c r="W49" s="80" t="e">
        <f t="shared" ref="W49" si="175">V49/M49</f>
        <v>#DIV/0!</v>
      </c>
      <c r="X49" s="81">
        <v>54840</v>
      </c>
      <c r="Y49" s="81">
        <v>70001</v>
      </c>
      <c r="Z49" s="82">
        <f t="shared" ref="Z49" si="176">SUM(X49:Y49)</f>
        <v>124841</v>
      </c>
      <c r="AA49" s="80" t="e">
        <f t="shared" ref="AA49" si="177">Z49/M49</f>
        <v>#DIV/0!</v>
      </c>
      <c r="AB49" s="81">
        <v>0</v>
      </c>
      <c r="AC49" s="81">
        <v>0</v>
      </c>
      <c r="AD49" s="82">
        <f t="shared" ref="AD49" si="178">SUM(AB49:AC49)</f>
        <v>0</v>
      </c>
      <c r="AE49" s="80" t="e">
        <f>AD49/#REF!</f>
        <v>#REF!</v>
      </c>
      <c r="AF49" s="81"/>
      <c r="AG49" s="81"/>
      <c r="AH49" s="82">
        <f t="shared" ref="AH49" si="179">SUM(AF49:AG49)</f>
        <v>0</v>
      </c>
      <c r="AI49" s="80">
        <f t="shared" ref="AI49" si="180">SUM(Z38:Z49)+SUM(AH38:AH49)</f>
        <v>12832340</v>
      </c>
      <c r="AJ49" s="28">
        <f t="shared" ref="AJ49" si="181">SUM(C38:C49)</f>
        <v>0</v>
      </c>
      <c r="AK49" s="80" t="e">
        <f t="shared" ref="AK49" si="182">AI49/AJ49</f>
        <v>#DIV/0!</v>
      </c>
      <c r="AL49" s="20"/>
      <c r="AO49">
        <v>202109</v>
      </c>
      <c r="AP49" s="7">
        <f t="shared" ref="AP49" si="183">AVERAGE(M47:M49)</f>
        <v>0</v>
      </c>
      <c r="AQ49" s="7">
        <f t="shared" ref="AQ49" si="184">AVERAGE(M44:M49)</f>
        <v>0</v>
      </c>
    </row>
    <row r="50" spans="1:43">
      <c r="G50" s="87"/>
      <c r="H50" s="87"/>
    </row>
  </sheetData>
  <mergeCells count="9">
    <mergeCell ref="T1:W1"/>
    <mergeCell ref="X1:AA1"/>
    <mergeCell ref="AB1:AE1"/>
    <mergeCell ref="AI1:AK1"/>
    <mergeCell ref="G1:H1"/>
    <mergeCell ref="I1:J1"/>
    <mergeCell ref="K1:L1"/>
    <mergeCell ref="M1:N1"/>
    <mergeCell ref="AF1:AH1"/>
  </mergeCells>
  <phoneticPr fontId="3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zoomScale="82" zoomScaleNormal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D28" sqref="D28:D29"/>
    </sheetView>
  </sheetViews>
  <sheetFormatPr defaultRowHeight="18.75"/>
  <cols>
    <col min="1" max="1" width="5.625" bestFit="1" customWidth="1"/>
    <col min="2" max="2" width="3.625" bestFit="1" customWidth="1"/>
    <col min="3" max="3" width="10.625" style="85" customWidth="1"/>
    <col min="4" max="4" width="44.375" customWidth="1"/>
    <col min="6" max="6" width="16.375" bestFit="1" customWidth="1"/>
    <col min="7" max="10" width="10.125" customWidth="1"/>
    <col min="11" max="11" width="11.5" bestFit="1" customWidth="1"/>
    <col min="12" max="12" width="10.125" customWidth="1"/>
  </cols>
  <sheetData>
    <row r="1" spans="1:4">
      <c r="C1" s="88" t="s">
        <v>67</v>
      </c>
    </row>
    <row r="2" spans="1:4">
      <c r="A2" s="1" t="s">
        <v>3</v>
      </c>
      <c r="B2" s="1" t="s">
        <v>0</v>
      </c>
      <c r="C2" s="79" t="s">
        <v>1</v>
      </c>
      <c r="D2" s="19"/>
    </row>
    <row r="3" spans="1:4">
      <c r="A3" s="1">
        <v>2019</v>
      </c>
      <c r="B3" s="1">
        <v>10</v>
      </c>
      <c r="C3" s="81">
        <v>4946</v>
      </c>
      <c r="D3" s="20" t="s">
        <v>68</v>
      </c>
    </row>
    <row r="4" spans="1:4">
      <c r="A4" s="1">
        <v>2019</v>
      </c>
      <c r="B4" s="1">
        <v>11</v>
      </c>
      <c r="C4" s="81">
        <v>12808</v>
      </c>
      <c r="D4" s="20"/>
    </row>
    <row r="5" spans="1:4">
      <c r="A5" s="1">
        <v>2019</v>
      </c>
      <c r="B5" s="1">
        <v>12</v>
      </c>
      <c r="C5" s="81">
        <v>20040</v>
      </c>
      <c r="D5" s="20"/>
    </row>
    <row r="6" spans="1:4">
      <c r="A6" s="1">
        <v>2020</v>
      </c>
      <c r="B6" s="1">
        <v>1</v>
      </c>
      <c r="C6" s="81">
        <v>22725</v>
      </c>
      <c r="D6" s="20"/>
    </row>
    <row r="7" spans="1:4">
      <c r="A7" s="1">
        <v>2020</v>
      </c>
      <c r="B7" s="1">
        <v>2</v>
      </c>
      <c r="C7" s="81">
        <v>28185</v>
      </c>
      <c r="D7" s="20"/>
    </row>
    <row r="8" spans="1:4">
      <c r="A8" s="1">
        <v>2020</v>
      </c>
      <c r="B8" s="1">
        <v>3</v>
      </c>
      <c r="C8" s="81">
        <v>26087</v>
      </c>
      <c r="D8" s="20"/>
    </row>
    <row r="9" spans="1:4">
      <c r="A9" s="1">
        <v>2020</v>
      </c>
      <c r="B9" s="1">
        <v>4</v>
      </c>
      <c r="C9" s="81">
        <v>64764</v>
      </c>
      <c r="D9" s="20"/>
    </row>
    <row r="10" spans="1:4">
      <c r="A10" s="1">
        <v>2020</v>
      </c>
      <c r="B10" s="1">
        <v>5</v>
      </c>
      <c r="C10" s="81">
        <v>65483</v>
      </c>
      <c r="D10" s="20"/>
    </row>
    <row r="11" spans="1:4">
      <c r="A11" s="1">
        <v>2020</v>
      </c>
      <c r="B11" s="1">
        <v>6</v>
      </c>
      <c r="C11" s="81">
        <v>87420</v>
      </c>
      <c r="D11" s="20"/>
    </row>
    <row r="12" spans="1:4">
      <c r="A12" s="1">
        <v>2020</v>
      </c>
      <c r="B12" s="1">
        <v>7</v>
      </c>
      <c r="C12" s="81">
        <v>73242</v>
      </c>
      <c r="D12" s="20"/>
    </row>
    <row r="13" spans="1:4">
      <c r="A13" s="1">
        <v>2020</v>
      </c>
      <c r="B13" s="1">
        <v>8</v>
      </c>
      <c r="C13" s="81">
        <v>60500</v>
      </c>
      <c r="D13" s="20"/>
    </row>
    <row r="14" spans="1:4">
      <c r="A14" s="1">
        <v>2020</v>
      </c>
      <c r="B14" s="1">
        <v>9</v>
      </c>
      <c r="C14" s="81">
        <v>85777</v>
      </c>
      <c r="D14" s="20"/>
    </row>
    <row r="15" spans="1:4">
      <c r="A15" s="1">
        <v>2020</v>
      </c>
      <c r="B15" s="1">
        <v>10</v>
      </c>
      <c r="C15" s="81">
        <v>93711</v>
      </c>
      <c r="D15" s="20"/>
    </row>
    <row r="16" spans="1:4">
      <c r="A16" s="1">
        <v>2020</v>
      </c>
      <c r="B16" s="1">
        <v>11</v>
      </c>
      <c r="C16" s="81">
        <v>59068</v>
      </c>
      <c r="D16" s="20"/>
    </row>
    <row r="17" spans="1:4">
      <c r="A17" s="1">
        <v>2020</v>
      </c>
      <c r="B17" s="1">
        <v>12</v>
      </c>
      <c r="C17" s="81">
        <v>61352</v>
      </c>
      <c r="D17" s="20"/>
    </row>
    <row r="18" spans="1:4">
      <c r="A18" s="1">
        <v>2021</v>
      </c>
      <c r="B18" s="1">
        <v>1</v>
      </c>
      <c r="C18" s="81">
        <v>64163</v>
      </c>
      <c r="D18" s="20"/>
    </row>
    <row r="19" spans="1:4">
      <c r="A19" s="1">
        <v>2021</v>
      </c>
      <c r="B19" s="1">
        <v>2</v>
      </c>
      <c r="C19" s="81">
        <v>84481</v>
      </c>
      <c r="D19" s="20"/>
    </row>
    <row r="20" spans="1:4">
      <c r="A20" s="1">
        <v>2021</v>
      </c>
      <c r="B20" s="1">
        <v>3</v>
      </c>
      <c r="C20" s="81">
        <v>95053</v>
      </c>
      <c r="D20" s="20"/>
    </row>
    <row r="21" spans="1:4">
      <c r="A21" s="1">
        <v>2021</v>
      </c>
      <c r="B21" s="1">
        <v>4</v>
      </c>
      <c r="C21" s="81">
        <v>83960</v>
      </c>
      <c r="D21" s="20"/>
    </row>
    <row r="22" spans="1:4">
      <c r="A22" s="1">
        <v>2021</v>
      </c>
      <c r="B22" s="1">
        <v>5</v>
      </c>
      <c r="C22" s="81">
        <v>81713</v>
      </c>
      <c r="D22" s="20"/>
    </row>
    <row r="23" spans="1:4">
      <c r="A23" s="1">
        <v>2021</v>
      </c>
      <c r="B23" s="1">
        <v>6</v>
      </c>
      <c r="C23" s="81">
        <v>99206</v>
      </c>
      <c r="D23" s="20"/>
    </row>
    <row r="24" spans="1:4">
      <c r="A24" s="1">
        <v>2021</v>
      </c>
      <c r="B24" s="1">
        <v>7</v>
      </c>
      <c r="C24" s="81">
        <v>71743</v>
      </c>
      <c r="D24" s="20"/>
    </row>
    <row r="25" spans="1:4">
      <c r="A25" s="1">
        <v>2021</v>
      </c>
      <c r="B25" s="1">
        <v>8</v>
      </c>
      <c r="C25" s="81">
        <v>67337</v>
      </c>
      <c r="D25" s="20"/>
    </row>
    <row r="26" spans="1:4">
      <c r="A26" s="1">
        <v>2021</v>
      </c>
      <c r="B26" s="1">
        <v>9</v>
      </c>
      <c r="C26" s="81">
        <v>95553</v>
      </c>
      <c r="D26" s="20"/>
    </row>
    <row r="27" spans="1:4">
      <c r="A27" s="1">
        <v>2021</v>
      </c>
      <c r="B27" s="1">
        <v>10</v>
      </c>
      <c r="C27" s="81">
        <v>83048</v>
      </c>
      <c r="D27" s="20"/>
    </row>
    <row r="28" spans="1:4">
      <c r="A28" s="1">
        <v>2021</v>
      </c>
      <c r="B28" s="1">
        <v>11</v>
      </c>
      <c r="C28" s="81">
        <v>43320</v>
      </c>
      <c r="D28" s="20"/>
    </row>
  </sheetData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F4"/>
  <sheetViews>
    <sheetView zoomScale="82" zoomScaleNormal="100" workbookViewId="0">
      <pane xSplit="2" ySplit="2" topLeftCell="C3" activePane="bottomRight" state="frozen"/>
      <selection activeCell="C17" sqref="C17"/>
      <selection pane="topRight" activeCell="C17" sqref="C17"/>
      <selection pane="bottomLeft" activeCell="C17" sqref="C17"/>
      <selection pane="bottomRight" activeCell="F3" sqref="F3"/>
    </sheetView>
  </sheetViews>
  <sheetFormatPr defaultRowHeight="18.75"/>
  <cols>
    <col min="1" max="1" width="5.625" bestFit="1" customWidth="1"/>
    <col min="2" max="2" width="3.625" bestFit="1" customWidth="1"/>
    <col min="3" max="3" width="10.625" style="85" customWidth="1"/>
    <col min="4" max="5" width="11.125" style="85" bestFit="1" customWidth="1"/>
    <col min="6" max="6" width="44.375" customWidth="1"/>
    <col min="8" max="8" width="16.375" bestFit="1" customWidth="1"/>
    <col min="9" max="12" width="10.125" customWidth="1"/>
    <col min="13" max="13" width="11.5" bestFit="1" customWidth="1"/>
    <col min="14" max="14" width="10.125" customWidth="1"/>
  </cols>
  <sheetData>
    <row r="1" spans="1:6">
      <c r="C1" s="113" t="s">
        <v>88</v>
      </c>
      <c r="D1" s="114"/>
      <c r="E1" s="114"/>
    </row>
    <row r="2" spans="1:6">
      <c r="A2" s="1" t="s">
        <v>3</v>
      </c>
      <c r="B2" s="1" t="s">
        <v>0</v>
      </c>
      <c r="C2" s="79" t="s">
        <v>1</v>
      </c>
      <c r="D2" s="79" t="s">
        <v>2</v>
      </c>
      <c r="E2" s="79" t="s">
        <v>18</v>
      </c>
      <c r="F2" s="19"/>
    </row>
    <row r="3" spans="1:6">
      <c r="A3" s="1">
        <v>2021</v>
      </c>
      <c r="B3" s="1">
        <v>1</v>
      </c>
      <c r="C3" s="81">
        <v>406156</v>
      </c>
      <c r="D3" s="81">
        <v>347415</v>
      </c>
      <c r="E3" s="82">
        <f t="shared" ref="E3" si="0">SUM(C3:D3)</f>
        <v>753571</v>
      </c>
      <c r="F3" s="20" t="s">
        <v>89</v>
      </c>
    </row>
    <row r="4" spans="1:6">
      <c r="A4" s="1">
        <v>2021</v>
      </c>
      <c r="B4" s="1">
        <v>2</v>
      </c>
      <c r="C4" s="81">
        <v>885449</v>
      </c>
      <c r="D4" s="81">
        <v>845748</v>
      </c>
      <c r="E4" s="82">
        <f t="shared" ref="E4" si="1">SUM(C4:D4)</f>
        <v>1731197</v>
      </c>
      <c r="F4" s="20"/>
    </row>
  </sheetData>
  <mergeCells count="1">
    <mergeCell ref="C1:E1"/>
  </mergeCells>
  <phoneticPr fontId="3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zoomScale="82" zoomScaleNormal="100" workbookViewId="0">
      <pane xSplit="2" ySplit="2" topLeftCell="C3" activePane="bottomRight" state="frozen"/>
      <selection activeCell="C17" sqref="C17"/>
      <selection pane="topRight" activeCell="C17" sqref="C17"/>
      <selection pane="bottomLeft" activeCell="C17" sqref="C17"/>
      <selection pane="bottomRight" activeCell="C16" sqref="C16:D16"/>
    </sheetView>
  </sheetViews>
  <sheetFormatPr defaultRowHeight="18.75"/>
  <cols>
    <col min="1" max="1" width="5.625" bestFit="1" customWidth="1"/>
    <col min="2" max="2" width="3.625" bestFit="1" customWidth="1"/>
    <col min="3" max="3" width="10.625" style="85" customWidth="1"/>
    <col min="4" max="5" width="11.125" style="85" bestFit="1" customWidth="1"/>
    <col min="6" max="6" width="44.375" customWidth="1"/>
    <col min="8" max="8" width="16.375" bestFit="1" customWidth="1"/>
    <col min="9" max="12" width="10.125" customWidth="1"/>
    <col min="13" max="13" width="11.5" bestFit="1" customWidth="1"/>
    <col min="14" max="14" width="10.125" customWidth="1"/>
  </cols>
  <sheetData>
    <row r="1" spans="1:6">
      <c r="C1" s="113" t="s">
        <v>58</v>
      </c>
      <c r="D1" s="114"/>
      <c r="E1" s="114"/>
    </row>
    <row r="2" spans="1:6">
      <c r="A2" s="1" t="s">
        <v>3</v>
      </c>
      <c r="B2" s="1" t="s">
        <v>0</v>
      </c>
      <c r="C2" s="79" t="s">
        <v>1</v>
      </c>
      <c r="D2" s="79" t="s">
        <v>2</v>
      </c>
      <c r="E2" s="79" t="s">
        <v>18</v>
      </c>
      <c r="F2" s="19"/>
    </row>
    <row r="3" spans="1:6">
      <c r="A3" s="1">
        <v>2019</v>
      </c>
      <c r="B3" s="1">
        <v>11</v>
      </c>
      <c r="C3" s="81">
        <v>2486</v>
      </c>
      <c r="D3" s="81"/>
      <c r="E3" s="82">
        <f>SUM(C3:D3)</f>
        <v>2486</v>
      </c>
      <c r="F3" s="20" t="s">
        <v>71</v>
      </c>
    </row>
    <row r="4" spans="1:6">
      <c r="A4" s="1">
        <v>2019</v>
      </c>
      <c r="B4" s="1">
        <v>12</v>
      </c>
      <c r="C4" s="81">
        <v>9348</v>
      </c>
      <c r="D4" s="81">
        <v>10353</v>
      </c>
      <c r="E4" s="82">
        <f t="shared" ref="E4:E11" si="0">SUM(C4:D4)</f>
        <v>19701</v>
      </c>
      <c r="F4" s="20"/>
    </row>
    <row r="5" spans="1:6">
      <c r="A5" s="1">
        <v>2020</v>
      </c>
      <c r="B5" s="1">
        <v>1</v>
      </c>
      <c r="C5" s="81">
        <v>12692</v>
      </c>
      <c r="D5" s="81">
        <v>21400</v>
      </c>
      <c r="E5" s="82">
        <f t="shared" si="0"/>
        <v>34092</v>
      </c>
      <c r="F5" s="20"/>
    </row>
    <row r="6" spans="1:6">
      <c r="A6" s="1">
        <v>2020</v>
      </c>
      <c r="B6" s="1">
        <v>2</v>
      </c>
      <c r="C6" s="81">
        <v>19509</v>
      </c>
      <c r="D6" s="81">
        <v>24746</v>
      </c>
      <c r="E6" s="82">
        <f t="shared" si="0"/>
        <v>44255</v>
      </c>
      <c r="F6" s="20"/>
    </row>
    <row r="7" spans="1:6">
      <c r="A7" s="1">
        <v>2020</v>
      </c>
      <c r="B7" s="1">
        <v>3</v>
      </c>
      <c r="C7" s="81">
        <v>25853</v>
      </c>
      <c r="D7" s="81">
        <v>28955</v>
      </c>
      <c r="E7" s="82">
        <f t="shared" si="0"/>
        <v>54808</v>
      </c>
      <c r="F7" s="20"/>
    </row>
    <row r="8" spans="1:6">
      <c r="A8" s="1">
        <v>2020</v>
      </c>
      <c r="B8" s="1">
        <v>4</v>
      </c>
      <c r="C8" s="81">
        <v>19024</v>
      </c>
      <c r="D8" s="81">
        <v>24241</v>
      </c>
      <c r="E8" s="82">
        <f t="shared" si="0"/>
        <v>43265</v>
      </c>
      <c r="F8" s="20"/>
    </row>
    <row r="9" spans="1:6">
      <c r="A9" s="1">
        <v>2020</v>
      </c>
      <c r="B9" s="1">
        <v>5</v>
      </c>
      <c r="C9" s="81">
        <v>7866</v>
      </c>
      <c r="D9" s="81">
        <v>9556</v>
      </c>
      <c r="E9" s="82">
        <f t="shared" si="0"/>
        <v>17422</v>
      </c>
      <c r="F9" s="20"/>
    </row>
    <row r="10" spans="1:6">
      <c r="A10" s="1">
        <v>2020</v>
      </c>
      <c r="B10" s="1">
        <v>6</v>
      </c>
      <c r="C10" s="81">
        <v>9956</v>
      </c>
      <c r="D10" s="81">
        <v>11032</v>
      </c>
      <c r="E10" s="82">
        <f t="shared" si="0"/>
        <v>20988</v>
      </c>
      <c r="F10" s="20"/>
    </row>
    <row r="11" spans="1:6">
      <c r="A11" s="1">
        <v>2020</v>
      </c>
      <c r="B11" s="1">
        <v>7</v>
      </c>
      <c r="C11" s="81">
        <v>7337</v>
      </c>
      <c r="D11" s="81">
        <v>6815</v>
      </c>
      <c r="E11" s="82">
        <f t="shared" si="0"/>
        <v>14152</v>
      </c>
      <c r="F11" s="20"/>
    </row>
    <row r="12" spans="1:6">
      <c r="A12" s="1">
        <v>2020</v>
      </c>
      <c r="B12" s="1">
        <v>8</v>
      </c>
      <c r="C12" s="81">
        <v>6887</v>
      </c>
      <c r="D12" s="81">
        <v>2520</v>
      </c>
      <c r="E12" s="82">
        <f t="shared" ref="E12:E14" si="1">SUM(C12:D12)</f>
        <v>9407</v>
      </c>
      <c r="F12" s="20" t="s">
        <v>66</v>
      </c>
    </row>
    <row r="13" spans="1:6">
      <c r="A13" s="1">
        <v>2020</v>
      </c>
      <c r="B13" s="1">
        <v>9</v>
      </c>
      <c r="C13" s="81">
        <v>6867</v>
      </c>
      <c r="D13" s="81">
        <v>0</v>
      </c>
      <c r="E13" s="82">
        <f t="shared" si="1"/>
        <v>6867</v>
      </c>
      <c r="F13" s="20"/>
    </row>
    <row r="14" spans="1:6">
      <c r="A14" s="1">
        <v>2020</v>
      </c>
      <c r="B14" s="1">
        <v>10</v>
      </c>
      <c r="C14" s="81">
        <v>6385</v>
      </c>
      <c r="D14" s="81">
        <v>0</v>
      </c>
      <c r="E14" s="82">
        <f t="shared" si="1"/>
        <v>6385</v>
      </c>
      <c r="F14" s="20"/>
    </row>
    <row r="15" spans="1:6">
      <c r="A15" s="1">
        <v>2020</v>
      </c>
      <c r="B15" s="1">
        <v>11</v>
      </c>
      <c r="C15" s="81">
        <v>333892</v>
      </c>
      <c r="D15" s="81">
        <v>0</v>
      </c>
      <c r="E15" s="82">
        <f t="shared" ref="E15" si="2">SUM(C15:D15)</f>
        <v>333892</v>
      </c>
      <c r="F15" s="20" t="s">
        <v>74</v>
      </c>
    </row>
    <row r="16" spans="1:6">
      <c r="A16" s="1">
        <v>2020</v>
      </c>
      <c r="B16" s="1">
        <v>12</v>
      </c>
      <c r="C16" s="81">
        <v>250462</v>
      </c>
      <c r="D16" s="81">
        <v>62384</v>
      </c>
      <c r="E16" s="82">
        <f t="shared" ref="E16" si="3">SUM(C16:D16)</f>
        <v>312846</v>
      </c>
      <c r="F16" s="20"/>
    </row>
  </sheetData>
  <mergeCells count="1">
    <mergeCell ref="C1:E1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MQ会計の考え方</vt:lpstr>
      <vt:lpstr>RJC日本一比較サイト合計</vt:lpstr>
      <vt:lpstr>一人親方RJC</vt:lpstr>
      <vt:lpstr>日本最大級</vt:lpstr>
      <vt:lpstr>事務組合RJC</vt:lpstr>
      <vt:lpstr>建設業許可</vt:lpstr>
      <vt:lpstr>特別加入</vt:lpstr>
      <vt:lpstr>事務組合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2021-11-15T03:27:50Z</dcterms:modified>
</cp:coreProperties>
</file>