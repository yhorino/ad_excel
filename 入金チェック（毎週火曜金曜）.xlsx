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vymagay-my.sharepoint.com/personal/y_horino_yvymagay_onmicrosoft_com/Documents/作業管理/広告記録/"/>
    </mc:Choice>
  </mc:AlternateContent>
  <xr:revisionPtr revIDLastSave="1084" documentId="8_{15C70B59-5C69-43C6-A64A-8538B92E1452}" xr6:coauthVersionLast="47" xr6:coauthVersionMax="47" xr10:uidLastSave="{1182F17B-17F7-42A5-A468-7B9C004E9466}"/>
  <bookViews>
    <workbookView xWindow="29265" yWindow="-2535" windowWidth="14925" windowHeight="13305" xr2:uid="{00000000-000D-0000-FFFF-FFFF00000000}"/>
  </bookViews>
  <sheets>
    <sheet name="Sheet1 (2)" sheetId="2" r:id="rId1"/>
  </sheets>
  <definedNames>
    <definedName name="_xlnm.Print_Area" localSheetId="0">'Sheet1 (2)'!$A$1:$J$30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F21" i="2"/>
  <c r="F22" i="2"/>
  <c r="G22" i="2" s="1"/>
  <c r="F23" i="2"/>
  <c r="F24" i="2"/>
  <c r="F25" i="2"/>
  <c r="F26" i="2"/>
  <c r="F27" i="2"/>
  <c r="F19" i="2"/>
  <c r="G26" i="2" l="1"/>
  <c r="G25" i="2"/>
  <c r="G21" i="2"/>
  <c r="G24" i="2"/>
  <c r="G23" i="2"/>
  <c r="G27" i="2"/>
  <c r="G20" i="2"/>
  <c r="G19" i="2"/>
</calcChain>
</file>

<file path=xl/sharedStrings.xml><?xml version="1.0" encoding="utf-8"?>
<sst xmlns="http://schemas.openxmlformats.org/spreadsheetml/2006/main" count="150" uniqueCount="130">
  <si>
    <t>　[入金ライン]</t>
  </si>
  <si>
    <t>　火曜、金曜日に残金確認し、残金が下記ラインを下回っていたら、理事長に報告</t>
  </si>
  <si>
    <t>　現在の残金、過去１４日の費用を提示すること</t>
  </si>
  <si>
    <t>　RJC 日本最大級 Yahoo</t>
    <phoneticPr fontId="2"/>
  </si>
  <si>
    <t>　RJC 日本最大級 Google</t>
    <phoneticPr fontId="2"/>
  </si>
  <si>
    <t>　建設業許可 Yahoo</t>
    <phoneticPr fontId="2"/>
  </si>
  <si>
    <t>残高</t>
    <rPh sb="0" eb="2">
      <t>ザンダカ</t>
    </rPh>
    <phoneticPr fontId="2"/>
  </si>
  <si>
    <t>基準額</t>
    <rPh sb="0" eb="2">
      <t>キジュン</t>
    </rPh>
    <rPh sb="2" eb="3">
      <t>ガク</t>
    </rPh>
    <phoneticPr fontId="2"/>
  </si>
  <si>
    <t>差額</t>
    <rPh sb="0" eb="2">
      <t>サガク</t>
    </rPh>
    <phoneticPr fontId="2"/>
  </si>
  <si>
    <t>eyrir4455parity</t>
    <phoneticPr fontId="2"/>
  </si>
  <si>
    <t>gallop6885loupe</t>
    <phoneticPr fontId="2"/>
  </si>
  <si>
    <t>aichi6031@tmgt.co.jp</t>
    <phoneticPr fontId="2"/>
  </si>
  <si>
    <t>fervid2681succi</t>
    <phoneticPr fontId="2"/>
  </si>
  <si>
    <t>tulle2550vote</t>
    <phoneticPr fontId="2"/>
  </si>
  <si>
    <t>aichi631@tmgt.co.jp</t>
    <phoneticPr fontId="2"/>
  </si>
  <si>
    <t>　※　過去１４日の費用グラフを見せて説明すること</t>
    <rPh sb="3" eb="5">
      <t>カコ</t>
    </rPh>
    <rPh sb="7" eb="8">
      <t>ニチ</t>
    </rPh>
    <rPh sb="9" eb="11">
      <t>ヒヨウ</t>
    </rPh>
    <rPh sb="15" eb="16">
      <t>ミ</t>
    </rPh>
    <rPh sb="18" eb="20">
      <t>セツメイ</t>
    </rPh>
    <phoneticPr fontId="2"/>
  </si>
  <si>
    <t>　事務組合 Google</t>
    <phoneticPr fontId="2"/>
  </si>
  <si>
    <t>　建設業許可（レクサス：2103）</t>
    <phoneticPr fontId="2"/>
  </si>
  <si>
    <t>　一人親方RJC Yahoo</t>
    <rPh sb="1" eb="3">
      <t>ヒトリ</t>
    </rPh>
    <rPh sb="3" eb="5">
      <t>オヤカタ</t>
    </rPh>
    <phoneticPr fontId="2"/>
  </si>
  <si>
    <t>　事務組合RJC Yahoo</t>
    <phoneticPr fontId="2"/>
  </si>
  <si>
    <t>　一人親方RJC Google</t>
    <rPh sb="1" eb="3">
      <t>ヒトリ</t>
    </rPh>
    <rPh sb="3" eb="5">
      <t>オヤカタ</t>
    </rPh>
    <phoneticPr fontId="2"/>
  </si>
  <si>
    <t>　事務組合RJC Google</t>
    <phoneticPr fontId="2"/>
  </si>
  <si>
    <t>前回入金日</t>
    <rPh sb="0" eb="2">
      <t>ゼンカイ</t>
    </rPh>
    <rPh sb="2" eb="4">
      <t>ニュウキン</t>
    </rPh>
    <rPh sb="4" eb="5">
      <t>ビ</t>
    </rPh>
    <phoneticPr fontId="2"/>
  </si>
  <si>
    <t>　一人親方RJC Yahoo （ANA:3105）</t>
    <rPh sb="1" eb="3">
      <t>ヒトリ</t>
    </rPh>
    <rPh sb="3" eb="5">
      <t>オヤカタ</t>
    </rPh>
    <phoneticPr fontId="2"/>
  </si>
  <si>
    <t>　RJC 日本最大級 （ANA:3105）</t>
    <phoneticPr fontId="2"/>
  </si>
  <si>
    <t>Google</t>
    <phoneticPr fontId="2"/>
  </si>
  <si>
    <t>直近の入金額に対して残高が25%、1%を下回ったときにメール通知</t>
    <rPh sb="0" eb="2">
      <t>チョッキン</t>
    </rPh>
    <rPh sb="3" eb="5">
      <t>ニュウキン</t>
    </rPh>
    <rPh sb="5" eb="6">
      <t>ガク</t>
    </rPh>
    <rPh sb="7" eb="8">
      <t>タイ</t>
    </rPh>
    <rPh sb="10" eb="12">
      <t>ザンダカ</t>
    </rPh>
    <rPh sb="20" eb="22">
      <t>シタマワ</t>
    </rPh>
    <rPh sb="30" eb="32">
      <t>ツウチ</t>
    </rPh>
    <phoneticPr fontId="2"/>
  </si>
  <si>
    <t>Yahoo</t>
    <phoneticPr fontId="2"/>
  </si>
  <si>
    <t>残高が直近３日の平均コスト（日）の５日分を下回ったときにメール通知</t>
    <rPh sb="0" eb="2">
      <t>ザンダカ</t>
    </rPh>
    <rPh sb="3" eb="5">
      <t>チョッキン</t>
    </rPh>
    <rPh sb="6" eb="7">
      <t>ニチ</t>
    </rPh>
    <rPh sb="8" eb="10">
      <t>ヘイキン</t>
    </rPh>
    <rPh sb="14" eb="15">
      <t>ヒ</t>
    </rPh>
    <rPh sb="18" eb="19">
      <t>ニチ</t>
    </rPh>
    <rPh sb="19" eb="20">
      <t>ブン</t>
    </rPh>
    <rPh sb="21" eb="23">
      <t>シタマワ</t>
    </rPh>
    <rPh sb="31" eb="33">
      <t>ツウチ</t>
    </rPh>
    <phoneticPr fontId="2"/>
  </si>
  <si>
    <t>plod1852turfen</t>
    <phoneticPr fontId="2"/>
  </si>
  <si>
    <t>　事務組合RJC（ANA：3081）</t>
    <phoneticPr fontId="2"/>
  </si>
  <si>
    <t>　事務組合（大丸松坂屋：8004→ヒマラヤ：9660）</t>
    <rPh sb="6" eb="8">
      <t>ダイマル</t>
    </rPh>
    <rPh sb="8" eb="11">
      <t>マツザカヤ</t>
    </rPh>
    <phoneticPr fontId="2"/>
  </si>
  <si>
    <t>日予算</t>
    <rPh sb="0" eb="3">
      <t>ヒヨサン</t>
    </rPh>
    <phoneticPr fontId="2"/>
  </si>
  <si>
    <t>広告アカウント</t>
    <rPh sb="0" eb="2">
      <t>コウコク</t>
    </rPh>
    <phoneticPr fontId="2"/>
  </si>
  <si>
    <t>サイト</t>
    <phoneticPr fontId="2"/>
  </si>
  <si>
    <t>特別加入.com</t>
    <rPh sb="0" eb="4">
      <t>トクベツカニュウ</t>
    </rPh>
    <phoneticPr fontId="2"/>
  </si>
  <si>
    <t>kyokasugu.com</t>
    <phoneticPr fontId="2"/>
  </si>
  <si>
    <t>一人親方労災保険.tokyo</t>
    <rPh sb="0" eb="4">
      <t>ヒトリオヤカタ</t>
    </rPh>
    <rPh sb="4" eb="8">
      <t>ロウサイホケン</t>
    </rPh>
    <phoneticPr fontId="2"/>
  </si>
  <si>
    <t>4534 4143 9888 9097</t>
  </si>
  <si>
    <t>jal visa</t>
  </si>
  <si>
    <t>02/26</t>
    <phoneticPr fontId="2"/>
  </si>
  <si>
    <t>4986 9552 1171 5409</t>
    <phoneticPr fontId="2"/>
  </si>
  <si>
    <t>4/25</t>
    <phoneticPr fontId="2"/>
  </si>
  <si>
    <t>visa jr東海</t>
    <rPh sb="7" eb="9">
      <t>トウカイ</t>
    </rPh>
    <phoneticPr fontId="2"/>
  </si>
  <si>
    <t>004</t>
    <phoneticPr fontId="2"/>
  </si>
  <si>
    <t>google</t>
    <phoneticPr fontId="2"/>
  </si>
  <si>
    <t>yahoo</t>
    <phoneticPr fontId="2"/>
  </si>
  <si>
    <t>特別加入</t>
    <rPh sb="0" eb="2">
      <t>トクベツ</t>
    </rPh>
    <rPh sb="2" eb="4">
      <t>カニュウ</t>
    </rPh>
    <phoneticPr fontId="2"/>
  </si>
  <si>
    <t>穴あけをして提出すること！</t>
    <rPh sb="0" eb="1">
      <t>アナ</t>
    </rPh>
    <rPh sb="6" eb="8">
      <t>テイシュツ</t>
    </rPh>
    <phoneticPr fontId="2"/>
  </si>
  <si>
    <t>　中小事業主.com Yahoo</t>
    <rPh sb="1" eb="6">
      <t>チュウショウジギョウヌシ</t>
    </rPh>
    <phoneticPr fontId="2"/>
  </si>
  <si>
    <t>　中小事業主.com Google</t>
    <rPh sb="1" eb="3">
      <t>チュウショウ</t>
    </rPh>
    <rPh sb="3" eb="6">
      <t>ジギョウヌシ</t>
    </rPh>
    <phoneticPr fontId="2"/>
  </si>
  <si>
    <t>中小事業主.com</t>
    <phoneticPr fontId="2"/>
  </si>
  <si>
    <t>基準額分になるように入金して、追加入金はしない</t>
    <rPh sb="0" eb="3">
      <t>キジュンガク</t>
    </rPh>
    <rPh sb="3" eb="4">
      <t>ブン</t>
    </rPh>
    <rPh sb="10" eb="12">
      <t>ニュウキン</t>
    </rPh>
    <rPh sb="15" eb="19">
      <t>ツイカニュウキン</t>
    </rPh>
    <phoneticPr fontId="2"/>
  </si>
  <si>
    <t>一人親方Google　日予算80,000円→50,000円　事務組合Google　日予算40,000円→30,000円</t>
    <rPh sb="0" eb="4">
      <t>ヒトリオヤカタ</t>
    </rPh>
    <rPh sb="11" eb="14">
      <t>ヒヨサン</t>
    </rPh>
    <rPh sb="20" eb="21">
      <t>エン</t>
    </rPh>
    <rPh sb="28" eb="29">
      <t>エン</t>
    </rPh>
    <rPh sb="30" eb="34">
      <t>ジムクミアイ</t>
    </rPh>
    <rPh sb="41" eb="44">
      <t>ヒヨサン</t>
    </rPh>
    <rPh sb="50" eb="51">
      <t>エン</t>
    </rPh>
    <rPh sb="58" eb="59">
      <t>エン</t>
    </rPh>
    <phoneticPr fontId="2"/>
  </si>
  <si>
    <t>一人親方Google　日予算50,000円→40,000円　事務組合Google　日予算30,000円→25,000円</t>
    <rPh sb="0" eb="4">
      <t>ヒトリオヤカタ</t>
    </rPh>
    <rPh sb="11" eb="14">
      <t>ヒヨサン</t>
    </rPh>
    <rPh sb="20" eb="21">
      <t>エン</t>
    </rPh>
    <rPh sb="28" eb="29">
      <t>エン</t>
    </rPh>
    <phoneticPr fontId="2"/>
  </si>
  <si>
    <t>事務組合Yahoo　日予算50,000円→35,000円</t>
    <rPh sb="0" eb="2">
      <t>ジム</t>
    </rPh>
    <rPh sb="2" eb="4">
      <t>クミアイ</t>
    </rPh>
    <rPh sb="10" eb="11">
      <t>ヒ</t>
    </rPh>
    <rPh sb="11" eb="13">
      <t>ヨサン</t>
    </rPh>
    <rPh sb="19" eb="20">
      <t>エン</t>
    </rPh>
    <rPh sb="27" eb="28">
      <t>エン</t>
    </rPh>
    <phoneticPr fontId="2"/>
  </si>
  <si>
    <t>一人親方Google　今日だけ変更　日予算40,000円→80,000円　入札戦略　クリック数最大化→目標インプレッションシェア→表示されなかったためクリック数最大化に戻す</t>
    <rPh sb="0" eb="4">
      <t>ヒトリオヤカタ</t>
    </rPh>
    <rPh sb="11" eb="13">
      <t>キョウ</t>
    </rPh>
    <rPh sb="15" eb="17">
      <t>ヘンコウ</t>
    </rPh>
    <rPh sb="18" eb="21">
      <t>ヒヨサン</t>
    </rPh>
    <rPh sb="27" eb="28">
      <t>エン</t>
    </rPh>
    <rPh sb="35" eb="36">
      <t>エン</t>
    </rPh>
    <rPh sb="37" eb="41">
      <t>ニュウサツセンリャク</t>
    </rPh>
    <rPh sb="46" eb="50">
      <t>スウサイダイカ</t>
    </rPh>
    <rPh sb="51" eb="53">
      <t>モクヒョウ</t>
    </rPh>
    <rPh sb="65" eb="67">
      <t>ヒョウジ</t>
    </rPh>
    <rPh sb="79" eb="83">
      <t>スウサイダイカ</t>
    </rPh>
    <rPh sb="84" eb="85">
      <t>モド</t>
    </rPh>
    <phoneticPr fontId="2"/>
  </si>
  <si>
    <t>　RJC 日本最大級 （ANA:1080）</t>
    <rPh sb="5" eb="7">
      <t>ニホン</t>
    </rPh>
    <rPh sb="7" eb="10">
      <t>サイダイキュウ</t>
    </rPh>
    <phoneticPr fontId="2"/>
  </si>
  <si>
    <t>631japan@tmgt.co.jp</t>
    <phoneticPr fontId="2"/>
  </si>
  <si>
    <t>　RJC 日本最大級 Google</t>
    <phoneticPr fontId="2"/>
  </si>
  <si>
    <t>2日分を基準額として、朝に入金する方法に変更</t>
    <rPh sb="1" eb="3">
      <t>ニチブン</t>
    </rPh>
    <rPh sb="4" eb="7">
      <t>キジュンガク</t>
    </rPh>
    <rPh sb="11" eb="12">
      <t>アサ</t>
    </rPh>
    <rPh sb="13" eb="15">
      <t>ニュウキン</t>
    </rPh>
    <rPh sb="17" eb="19">
      <t>ホウホウ</t>
    </rPh>
    <rPh sb="20" eb="22">
      <t>ヘンコウ</t>
    </rPh>
    <phoneticPr fontId="2"/>
  </si>
  <si>
    <t>加入回数</t>
    <rPh sb="0" eb="4">
      <t>カニュウカイスウ</t>
    </rPh>
    <phoneticPr fontId="2"/>
  </si>
  <si>
    <t>　一人親方RJC Google （ANA:1080→JR西日本:1086）</t>
    <rPh sb="28" eb="31">
      <t>ニシニホン</t>
    </rPh>
    <phoneticPr fontId="2"/>
  </si>
  <si>
    <t>事務組合RJCYahoo、事務組合RJCGoogle　広告停止</t>
    <rPh sb="0" eb="4">
      <t>ジムクミアイ</t>
    </rPh>
    <rPh sb="13" eb="17">
      <t>ジムクミアイ</t>
    </rPh>
    <rPh sb="27" eb="29">
      <t>コウコク</t>
    </rPh>
    <rPh sb="29" eb="31">
      <t>テイシ</t>
    </rPh>
    <phoneticPr fontId="2"/>
  </si>
  <si>
    <t>一人親方Google　日予算46,000円→40,000円</t>
    <rPh sb="0" eb="4">
      <t>ヒトリオヤカタ</t>
    </rPh>
    <rPh sb="11" eb="12">
      <t>ヒ</t>
    </rPh>
    <rPh sb="12" eb="14">
      <t>ヨサン</t>
    </rPh>
    <rPh sb="20" eb="21">
      <t>エン</t>
    </rPh>
    <rPh sb="28" eb="29">
      <t>エン</t>
    </rPh>
    <phoneticPr fontId="2"/>
  </si>
  <si>
    <t>一人親方Yahoo　日予算86,000円→65,000円</t>
    <rPh sb="0" eb="2">
      <t>ヒトリ</t>
    </rPh>
    <rPh sb="2" eb="4">
      <t>オヤカタ</t>
    </rPh>
    <rPh sb="10" eb="11">
      <t>ヒ</t>
    </rPh>
    <rPh sb="11" eb="13">
      <t>ヨサン</t>
    </rPh>
    <rPh sb="19" eb="20">
      <t>エン</t>
    </rPh>
    <rPh sb="27" eb="28">
      <t>エン</t>
    </rPh>
    <phoneticPr fontId="2"/>
  </si>
  <si>
    <t>事務組合RJCYahoo、事務組合RJCGoogle　広告再開（５月キャンペーン）</t>
    <rPh sb="0" eb="4">
      <t>ジムクミアイ</t>
    </rPh>
    <rPh sb="13" eb="17">
      <t>ジムクミアイ</t>
    </rPh>
    <rPh sb="27" eb="29">
      <t>コウコク</t>
    </rPh>
    <rPh sb="29" eb="31">
      <t>サイカイ</t>
    </rPh>
    <rPh sb="33" eb="34">
      <t>ガツ</t>
    </rPh>
    <phoneticPr fontId="2"/>
  </si>
  <si>
    <t>一人親方RJCYahoo、一人親方RJCGoogle　広告文変更（スマホ加入者証）</t>
    <rPh sb="0" eb="4">
      <t>ヒトリオヤカタ</t>
    </rPh>
    <rPh sb="13" eb="17">
      <t>ヒトリオヤカタ</t>
    </rPh>
    <rPh sb="27" eb="30">
      <t>コウコクブン</t>
    </rPh>
    <rPh sb="30" eb="32">
      <t>ヘンコウ</t>
    </rPh>
    <rPh sb="36" eb="40">
      <t>カニュウシャショウ</t>
    </rPh>
    <phoneticPr fontId="2"/>
  </si>
  <si>
    <t>一人親方RJCGoogle　日予算40,000円→35,000円、事務組合RJCGoogle　日予算27,500円→25,000円</t>
    <rPh sb="0" eb="4">
      <t>ヒトリオヤカタ</t>
    </rPh>
    <rPh sb="14" eb="15">
      <t>ヒ</t>
    </rPh>
    <rPh sb="15" eb="17">
      <t>ヨサン</t>
    </rPh>
    <rPh sb="23" eb="24">
      <t>エン</t>
    </rPh>
    <rPh sb="31" eb="32">
      <t>エン</t>
    </rPh>
    <rPh sb="33" eb="37">
      <t>ジムクミアイ</t>
    </rPh>
    <rPh sb="47" eb="48">
      <t>ヒ</t>
    </rPh>
    <rPh sb="48" eb="50">
      <t>ヨサン</t>
    </rPh>
    <rPh sb="56" eb="57">
      <t>エン</t>
    </rPh>
    <rPh sb="64" eb="65">
      <t>エン</t>
    </rPh>
    <phoneticPr fontId="2"/>
  </si>
  <si>
    <t>事務組合RJCGoogle、Yahoo　入札単価調整　モバイル-50%、タブレット-100%</t>
    <rPh sb="0" eb="4">
      <t>ジムクミアイ</t>
    </rPh>
    <rPh sb="20" eb="26">
      <t>ニュウサツタンカチョウセイ</t>
    </rPh>
    <phoneticPr fontId="2"/>
  </si>
  <si>
    <t>一人親方RJCYahoo　日予算65,000円→34,000円、一人親方RJCGoogle　日予算35,000円→24,000円</t>
    <rPh sb="0" eb="4">
      <t>ヒトリオヤカタ</t>
    </rPh>
    <rPh sb="13" eb="16">
      <t>ヒヨサン</t>
    </rPh>
    <rPh sb="22" eb="23">
      <t>エン</t>
    </rPh>
    <rPh sb="30" eb="31">
      <t>エン</t>
    </rPh>
    <rPh sb="32" eb="36">
      <t>ヒトリオヤカタ</t>
    </rPh>
    <rPh sb="46" eb="49">
      <t>ヒヨサン</t>
    </rPh>
    <rPh sb="55" eb="56">
      <t>エン</t>
    </rPh>
    <rPh sb="63" eb="64">
      <t>エン</t>
    </rPh>
    <phoneticPr fontId="2"/>
  </si>
  <si>
    <t>一人親方RJCYahoo、Google　入札戦略　クリック数最大化→CV数最大化</t>
    <rPh sb="0" eb="4">
      <t>ヒトリオヤカタ</t>
    </rPh>
    <rPh sb="20" eb="24">
      <t>ニュウサツセンリャク</t>
    </rPh>
    <rPh sb="29" eb="33">
      <t>スウサイダイカ</t>
    </rPh>
    <rPh sb="36" eb="37">
      <t>スウ</t>
    </rPh>
    <rPh sb="37" eb="40">
      <t>サイダイカ</t>
    </rPh>
    <phoneticPr fontId="2"/>
  </si>
  <si>
    <t>一人親方RJCYahoo、Google　入札戦略　CV数最大化→クリック数最大化</t>
    <rPh sb="0" eb="4">
      <t>ヒトリオヤカタ</t>
    </rPh>
    <rPh sb="20" eb="24">
      <t>ニュウサツセンリャク</t>
    </rPh>
    <rPh sb="36" eb="40">
      <t>スウサイダイカ</t>
    </rPh>
    <phoneticPr fontId="2"/>
  </si>
  <si>
    <t>一人親方RJCYahoo　日予算34,000円→50,000円、一人親方RJCGoogle　日予算24,000円→30,000円(+50人/月で目指す 目標922人)　紹介でさらに50人増やす</t>
    <rPh sb="0" eb="4">
      <t>ヒトリオヤカタ</t>
    </rPh>
    <rPh sb="13" eb="16">
      <t>ヒヨサン</t>
    </rPh>
    <rPh sb="22" eb="23">
      <t>エン</t>
    </rPh>
    <rPh sb="30" eb="31">
      <t>エン</t>
    </rPh>
    <rPh sb="32" eb="36">
      <t>ヒトリオヤカタ</t>
    </rPh>
    <rPh sb="46" eb="49">
      <t>ヒヨサン</t>
    </rPh>
    <rPh sb="55" eb="56">
      <t>エン</t>
    </rPh>
    <rPh sb="63" eb="64">
      <t>エン</t>
    </rPh>
    <rPh sb="68" eb="69">
      <t>ニン</t>
    </rPh>
    <rPh sb="70" eb="71">
      <t>ツキ</t>
    </rPh>
    <rPh sb="72" eb="74">
      <t>メザ</t>
    </rPh>
    <rPh sb="76" eb="78">
      <t>モクヒョウ</t>
    </rPh>
    <rPh sb="81" eb="82">
      <t>ニン</t>
    </rPh>
    <rPh sb="84" eb="86">
      <t>ショウカイ</t>
    </rPh>
    <rPh sb="92" eb="93">
      <t>ニン</t>
    </rPh>
    <rPh sb="93" eb="94">
      <t>フ</t>
    </rPh>
    <phoneticPr fontId="2"/>
  </si>
  <si>
    <t>事務組合RJCYahoo　日予算35,000円→37,500円　事務組合RJCGoogle　日予算25,000円→27,500円</t>
    <rPh sb="0" eb="4">
      <t>ジムクミアイ</t>
    </rPh>
    <rPh sb="13" eb="16">
      <t>ヒヨサン</t>
    </rPh>
    <rPh sb="22" eb="23">
      <t>エン</t>
    </rPh>
    <rPh sb="30" eb="31">
      <t>エン</t>
    </rPh>
    <rPh sb="32" eb="36">
      <t>ジムクミアイ</t>
    </rPh>
    <rPh sb="46" eb="49">
      <t>ヒヨサン</t>
    </rPh>
    <rPh sb="55" eb="56">
      <t>エン</t>
    </rPh>
    <rPh sb="63" eb="64">
      <t>エン</t>
    </rPh>
    <phoneticPr fontId="2"/>
  </si>
  <si>
    <t>事務組合RJC　広告配信停止（広告戦略、報告に問題があるため）</t>
    <rPh sb="0" eb="4">
      <t>ジムクミアイ</t>
    </rPh>
    <rPh sb="8" eb="12">
      <t>コウコクハイシン</t>
    </rPh>
    <rPh sb="12" eb="14">
      <t>テイシ</t>
    </rPh>
    <rPh sb="15" eb="19">
      <t>コウコクセンリャク</t>
    </rPh>
    <rPh sb="20" eb="22">
      <t>ホウコク</t>
    </rPh>
    <rPh sb="23" eb="25">
      <t>モンダイ</t>
    </rPh>
    <phoneticPr fontId="2"/>
  </si>
  <si>
    <t>事務組合RJC　広告配信再開（通常、キャンペーン両方）</t>
    <rPh sb="0" eb="4">
      <t>ジムクミアイ</t>
    </rPh>
    <rPh sb="8" eb="12">
      <t>コウコクハイシン</t>
    </rPh>
    <rPh sb="12" eb="14">
      <t>サイカイ</t>
    </rPh>
    <rPh sb="15" eb="17">
      <t>ツウジョウ</t>
    </rPh>
    <rPh sb="24" eb="26">
      <t>リョウホウ</t>
    </rPh>
    <phoneticPr fontId="2"/>
  </si>
  <si>
    <t>事務組合RJCYahoo、Google　０～５時　広告停止</t>
    <rPh sb="0" eb="4">
      <t>ジムクミアイ</t>
    </rPh>
    <rPh sb="23" eb="24">
      <t>ジ</t>
    </rPh>
    <rPh sb="25" eb="29">
      <t>コウコクテイシ</t>
    </rPh>
    <phoneticPr fontId="2"/>
  </si>
  <si>
    <t>一人親方RJC、事務組合RJC　都道府県キーワード追加（表示数上位５件）</t>
    <rPh sb="0" eb="4">
      <t>ヒトリオヤカタ</t>
    </rPh>
    <rPh sb="8" eb="12">
      <t>ジムクミアイ</t>
    </rPh>
    <rPh sb="16" eb="20">
      <t>トドウフケン</t>
    </rPh>
    <rPh sb="25" eb="27">
      <t>ツイカ</t>
    </rPh>
    <rPh sb="28" eb="30">
      <t>ヒョウジ</t>
    </rPh>
    <rPh sb="30" eb="31">
      <t>スウ</t>
    </rPh>
    <rPh sb="31" eb="33">
      <t>ジョウイ</t>
    </rPh>
    <rPh sb="34" eb="35">
      <t>ケン</t>
    </rPh>
    <phoneticPr fontId="2"/>
  </si>
  <si>
    <t>一人親方RJC　加入数上位１３都道府県でキーワード追加（キーワード表示数上位５件）　都道府県＋キーワード、キーワード＋都道府県</t>
    <rPh sb="0" eb="4">
      <t>ヒトリオヤカタ</t>
    </rPh>
    <rPh sb="8" eb="11">
      <t>カニュウスウ</t>
    </rPh>
    <rPh sb="11" eb="13">
      <t>ジョウイ</t>
    </rPh>
    <rPh sb="15" eb="19">
      <t>トドウフケン</t>
    </rPh>
    <rPh sb="25" eb="27">
      <t>ツイカ</t>
    </rPh>
    <rPh sb="33" eb="35">
      <t>ヒョウジ</t>
    </rPh>
    <rPh sb="35" eb="36">
      <t>スウ</t>
    </rPh>
    <rPh sb="36" eb="38">
      <t>ジョウイ</t>
    </rPh>
    <rPh sb="39" eb="40">
      <t>ケン</t>
    </rPh>
    <rPh sb="42" eb="46">
      <t>トドウフケン</t>
    </rPh>
    <rPh sb="59" eb="63">
      <t>トドウフケン</t>
    </rPh>
    <phoneticPr fontId="2"/>
  </si>
  <si>
    <t>事務組合RJC　建設業者数上位５都道府県でキーワード追加（キーワード表示数上位５件）　都道府県＋キーワード、キーワード＋都道府県</t>
    <rPh sb="0" eb="4">
      <t>ジムクミアイ</t>
    </rPh>
    <rPh sb="8" eb="13">
      <t>ケンセツギョウシャスウ</t>
    </rPh>
    <rPh sb="13" eb="15">
      <t>ジョウイ</t>
    </rPh>
    <rPh sb="16" eb="20">
      <t>トドウフケン</t>
    </rPh>
    <rPh sb="26" eb="28">
      <t>ツイカ</t>
    </rPh>
    <rPh sb="34" eb="36">
      <t>ヒョウジ</t>
    </rPh>
    <rPh sb="36" eb="37">
      <t>スウ</t>
    </rPh>
    <rPh sb="37" eb="39">
      <t>ジョウイ</t>
    </rPh>
    <rPh sb="40" eb="41">
      <t>ケン</t>
    </rPh>
    <rPh sb="43" eb="47">
      <t>トドウフケン</t>
    </rPh>
    <rPh sb="60" eb="64">
      <t>トドウフケン</t>
    </rPh>
    <phoneticPr fontId="2"/>
  </si>
  <si>
    <t>tokubetsukanyu@gmail.com</t>
    <phoneticPr fontId="2"/>
  </si>
  <si>
    <t>　特別加入 Google（大丸松坂屋：8001）</t>
    <rPh sb="1" eb="3">
      <t>トクベツ</t>
    </rPh>
    <rPh sb="3" eb="5">
      <t>カニュウ</t>
    </rPh>
    <phoneticPr fontId="2"/>
  </si>
  <si>
    <t>　特別加入 Yahoo（高島屋：7008）</t>
    <rPh sb="1" eb="3">
      <t>トクベツ</t>
    </rPh>
    <rPh sb="3" eb="5">
      <t>カニュウ</t>
    </rPh>
    <rPh sb="12" eb="15">
      <t>タカシマヤ</t>
    </rPh>
    <phoneticPr fontId="2"/>
  </si>
  <si>
    <t>一人親方RJC　個人と代理で広告グループ分割　個人はPC+0%,SP+50%,Tab-100%、代理はPC+50%,SP+0%,Tab-100%</t>
    <rPh sb="0" eb="4">
      <t>ヒトリオヤカタ</t>
    </rPh>
    <rPh sb="8" eb="10">
      <t>コジン</t>
    </rPh>
    <rPh sb="11" eb="13">
      <t>ダイリ</t>
    </rPh>
    <rPh sb="14" eb="16">
      <t>コウコク</t>
    </rPh>
    <rPh sb="20" eb="22">
      <t>ブンカツ</t>
    </rPh>
    <rPh sb="23" eb="25">
      <t>コジン</t>
    </rPh>
    <rPh sb="48" eb="50">
      <t>ダイリ</t>
    </rPh>
    <phoneticPr fontId="2"/>
  </si>
  <si>
    <t>事務組合RJC　価格改定（会費　月4,000円）→広告５本追加（Yahoo、Googleそれぞれ）</t>
    <rPh sb="0" eb="4">
      <t>ジムクミアイ</t>
    </rPh>
    <rPh sb="8" eb="12">
      <t>カカクカイテイ</t>
    </rPh>
    <rPh sb="13" eb="15">
      <t>カイヒ</t>
    </rPh>
    <rPh sb="16" eb="17">
      <t>ツキ</t>
    </rPh>
    <rPh sb="22" eb="23">
      <t>エン</t>
    </rPh>
    <rPh sb="25" eb="27">
      <t>コウコク</t>
    </rPh>
    <rPh sb="28" eb="29">
      <t>ホン</t>
    </rPh>
    <rPh sb="29" eb="31">
      <t>ツイカ</t>
    </rPh>
    <phoneticPr fontId="2"/>
  </si>
  <si>
    <t>一人親方RJC　個人と代理　どちらもPC+50%,SP+50%,Tab-100%に戻す</t>
    <rPh sb="0" eb="4">
      <t>ヒトリオヤカタ</t>
    </rPh>
    <rPh sb="8" eb="10">
      <t>コジン</t>
    </rPh>
    <rPh sb="11" eb="13">
      <t>ダイリ</t>
    </rPh>
    <rPh sb="41" eb="42">
      <t>モド</t>
    </rPh>
    <phoneticPr fontId="2"/>
  </si>
  <si>
    <t>一人親方RJC　Yahoo日予算50,000円→30,000円　Google日予算30,000円→40,000円</t>
    <rPh sb="0" eb="4">
      <t>ヒトリオヤカタ</t>
    </rPh>
    <rPh sb="13" eb="16">
      <t>ヒヨサン</t>
    </rPh>
    <rPh sb="22" eb="23">
      <t>エン</t>
    </rPh>
    <rPh sb="30" eb="31">
      <t>エン</t>
    </rPh>
    <rPh sb="38" eb="39">
      <t>ヒ</t>
    </rPh>
    <rPh sb="39" eb="41">
      <t>ヨサン</t>
    </rPh>
    <rPh sb="47" eb="48">
      <t>エン</t>
    </rPh>
    <rPh sb="55" eb="56">
      <t>エン</t>
    </rPh>
    <phoneticPr fontId="2"/>
  </si>
  <si>
    <t>事務組合RJC　Yahoo日予算37,500円→30,000円</t>
    <rPh sb="0" eb="4">
      <t>ジムクミアイ</t>
    </rPh>
    <rPh sb="13" eb="16">
      <t>ヒヨサン</t>
    </rPh>
    <rPh sb="22" eb="23">
      <t>エン</t>
    </rPh>
    <rPh sb="30" eb="31">
      <t>エン</t>
    </rPh>
    <phoneticPr fontId="2"/>
  </si>
  <si>
    <t>事務組合RJC　広告リンク先変更　従業員を雇っていますか？画像表示</t>
    <rPh sb="0" eb="4">
      <t>ジムクミアイ</t>
    </rPh>
    <rPh sb="8" eb="10">
      <t>コウコク</t>
    </rPh>
    <rPh sb="13" eb="14">
      <t>サキ</t>
    </rPh>
    <rPh sb="14" eb="16">
      <t>ヘンコウ</t>
    </rPh>
    <rPh sb="17" eb="20">
      <t>ジュウギョウイン</t>
    </rPh>
    <rPh sb="21" eb="22">
      <t>ヤト</t>
    </rPh>
    <rPh sb="29" eb="31">
      <t>ガゾウ</t>
    </rPh>
    <rPh sb="31" eb="33">
      <t>ヒョウジ</t>
    </rPh>
    <phoneticPr fontId="2"/>
  </si>
  <si>
    <t>事務組合RJC　Yahoo日予算30,000円→20,000円　Google日予算25,000円→10,000円</t>
    <rPh sb="0" eb="4">
      <t>ジムクミアイ</t>
    </rPh>
    <rPh sb="13" eb="16">
      <t>ヒヨサン</t>
    </rPh>
    <rPh sb="22" eb="23">
      <t>エン</t>
    </rPh>
    <rPh sb="30" eb="31">
      <t>エン</t>
    </rPh>
    <rPh sb="38" eb="41">
      <t>ヒヨサン</t>
    </rPh>
    <rPh sb="47" eb="48">
      <t>エン</t>
    </rPh>
    <rPh sb="55" eb="56">
      <t>エン</t>
    </rPh>
    <phoneticPr fontId="2"/>
  </si>
  <si>
    <t>事務組合RJC広告を一人親方RJC広告へ移植　ネット加入画像への広告のみ残す</t>
    <rPh sb="0" eb="4">
      <t>ジムクミアイ</t>
    </rPh>
    <rPh sb="7" eb="9">
      <t>コウコク</t>
    </rPh>
    <rPh sb="10" eb="14">
      <t>ヒトリオヤカタ</t>
    </rPh>
    <rPh sb="17" eb="19">
      <t>コウコク</t>
    </rPh>
    <rPh sb="20" eb="22">
      <t>イショク</t>
    </rPh>
    <rPh sb="26" eb="28">
      <t>カニュウ</t>
    </rPh>
    <rPh sb="28" eb="30">
      <t>ガゾウ</t>
    </rPh>
    <rPh sb="32" eb="34">
      <t>コウコク</t>
    </rPh>
    <rPh sb="36" eb="37">
      <t>ノコ</t>
    </rPh>
    <phoneticPr fontId="2"/>
  </si>
  <si>
    <t>一人親方RJC　全ての広告リンク先を白画像に変更</t>
    <rPh sb="0" eb="4">
      <t>ヒトリオヤカタ</t>
    </rPh>
    <rPh sb="8" eb="9">
      <t>スベ</t>
    </rPh>
    <rPh sb="11" eb="13">
      <t>コウコク</t>
    </rPh>
    <rPh sb="16" eb="17">
      <t>サキ</t>
    </rPh>
    <rPh sb="18" eb="21">
      <t>シロガゾウ</t>
    </rPh>
    <rPh sb="22" eb="24">
      <t>ヘンコウ</t>
    </rPh>
    <phoneticPr fontId="2"/>
  </si>
  <si>
    <t>事務組合RJC　Google広告停止</t>
    <rPh sb="0" eb="4">
      <t>ジムクミアイ</t>
    </rPh>
    <rPh sb="14" eb="16">
      <t>コウコク</t>
    </rPh>
    <rPh sb="16" eb="18">
      <t>テイシ</t>
    </rPh>
    <phoneticPr fontId="2"/>
  </si>
  <si>
    <t>事務組合RJC　Google広告再開　Yahooと同じ文面　１本のみ</t>
    <rPh sb="0" eb="4">
      <t>ジムクミアイ</t>
    </rPh>
    <rPh sb="14" eb="16">
      <t>コウコク</t>
    </rPh>
    <rPh sb="16" eb="18">
      <t>サイカイ</t>
    </rPh>
    <rPh sb="25" eb="26">
      <t>オナ</t>
    </rPh>
    <rPh sb="27" eb="29">
      <t>ブンメン</t>
    </rPh>
    <rPh sb="31" eb="32">
      <t>ホン</t>
    </rPh>
    <phoneticPr fontId="2"/>
  </si>
  <si>
    <t>事務組合RJC　配信時間帯　5:00～24:00→8:00～19:00に変更</t>
    <rPh sb="0" eb="4">
      <t>ジムクミアイ</t>
    </rPh>
    <rPh sb="8" eb="10">
      <t>ハイシン</t>
    </rPh>
    <rPh sb="10" eb="13">
      <t>ジカンタイ</t>
    </rPh>
    <rPh sb="36" eb="38">
      <t>ヘンコウ</t>
    </rPh>
    <phoneticPr fontId="2"/>
  </si>
  <si>
    <t>一人親方RJC　「この保険ではダメなのか？」広告　トップページ表示画像変更　白→従業員を雇っていますか？</t>
    <rPh sb="0" eb="4">
      <t>ヒトリオヤカタ</t>
    </rPh>
    <rPh sb="11" eb="13">
      <t>ホケン</t>
    </rPh>
    <rPh sb="22" eb="24">
      <t>コウコク</t>
    </rPh>
    <rPh sb="31" eb="35">
      <t>ヒョウジガゾウ</t>
    </rPh>
    <rPh sb="35" eb="37">
      <t>ヘンコウ</t>
    </rPh>
    <rPh sb="38" eb="39">
      <t>シロ</t>
    </rPh>
    <rPh sb="40" eb="43">
      <t>ジュウギョウイン</t>
    </rPh>
    <rPh sb="44" eb="45">
      <t>ヤト</t>
    </rPh>
    <phoneticPr fontId="2"/>
  </si>
  <si>
    <t>一人親方RJC　事業主向け広告　トップページ表示画像変更　白→従業員を雇っていますか？</t>
    <rPh sb="0" eb="4">
      <t>ヒトリオヤカタ</t>
    </rPh>
    <rPh sb="8" eb="11">
      <t>ジギョウヌシ</t>
    </rPh>
    <rPh sb="11" eb="12">
      <t>ム</t>
    </rPh>
    <rPh sb="13" eb="15">
      <t>コウコク</t>
    </rPh>
    <phoneticPr fontId="2"/>
  </si>
  <si>
    <t>事務組合RJC　Google広告　10:00～13:00 +50%→0%、15:00～19:00 +50%→17:00～19:00 +50%</t>
    <rPh sb="0" eb="4">
      <t>ジムクミアイ</t>
    </rPh>
    <rPh sb="14" eb="16">
      <t>コウコク</t>
    </rPh>
    <phoneticPr fontId="2"/>
  </si>
  <si>
    <t>事務組合RJC　Yahoo日予算20,000円→15,000円　Google日予算10,000円→15,000円</t>
    <rPh sb="0" eb="4">
      <t>ジムクミアイ</t>
    </rPh>
    <rPh sb="13" eb="16">
      <t>ヒヨサン</t>
    </rPh>
    <rPh sb="22" eb="23">
      <t>エン</t>
    </rPh>
    <rPh sb="30" eb="31">
      <t>エン</t>
    </rPh>
    <rPh sb="38" eb="41">
      <t>ヒヨサン</t>
    </rPh>
    <rPh sb="47" eb="48">
      <t>エン</t>
    </rPh>
    <rPh sb="55" eb="56">
      <t>エン</t>
    </rPh>
    <phoneticPr fontId="2"/>
  </si>
  <si>
    <t>一人親方RJC　Yahoo　キャンペーンをコピーして「コンバージョン数最大化」で配信開始</t>
    <rPh sb="0" eb="4">
      <t>ヒトリオヤカタ</t>
    </rPh>
    <rPh sb="34" eb="35">
      <t>スウ</t>
    </rPh>
    <rPh sb="35" eb="38">
      <t>サイダイカ</t>
    </rPh>
    <rPh sb="40" eb="42">
      <t>ハイシン</t>
    </rPh>
    <rPh sb="42" eb="44">
      <t>カイシ</t>
    </rPh>
    <phoneticPr fontId="2"/>
  </si>
  <si>
    <t>一人親方RJC　Yahoo　日予算　30,000円→２キャンペーン　各15,000円</t>
    <rPh sb="0" eb="4">
      <t>ヒトリオヤカタ</t>
    </rPh>
    <rPh sb="14" eb="17">
      <t>ヒヨサン</t>
    </rPh>
    <rPh sb="24" eb="25">
      <t>エン</t>
    </rPh>
    <rPh sb="34" eb="35">
      <t>カク</t>
    </rPh>
    <rPh sb="41" eb="42">
      <t>エン</t>
    </rPh>
    <phoneticPr fontId="2"/>
  </si>
  <si>
    <t>一人親方RJC　Yahoo　日予算　２キャンペーン　各15,000円→CV数最大化キャンペーン　15,000円→20,000円</t>
    <rPh sb="0" eb="4">
      <t>ヒトリオヤカタ</t>
    </rPh>
    <rPh sb="14" eb="17">
      <t>ヒヨサン</t>
    </rPh>
    <rPh sb="26" eb="27">
      <t>カク</t>
    </rPh>
    <rPh sb="33" eb="34">
      <t>エン</t>
    </rPh>
    <rPh sb="37" eb="38">
      <t>スウ</t>
    </rPh>
    <rPh sb="38" eb="41">
      <t>サイダイカ</t>
    </rPh>
    <rPh sb="54" eb="55">
      <t>エン</t>
    </rPh>
    <rPh sb="62" eb="63">
      <t>エン</t>
    </rPh>
    <phoneticPr fontId="2"/>
  </si>
  <si>
    <t>事務組合RJC　Google　キャンペーンをコピーして「コンバージョン数最大化」で配信開始</t>
    <rPh sb="0" eb="4">
      <t>ジムクミアイ</t>
    </rPh>
    <rPh sb="35" eb="36">
      <t>スウ</t>
    </rPh>
    <rPh sb="36" eb="39">
      <t>サイダイカ</t>
    </rPh>
    <rPh sb="41" eb="43">
      <t>ハイシン</t>
    </rPh>
    <rPh sb="43" eb="45">
      <t>カイシ</t>
    </rPh>
    <phoneticPr fontId="2"/>
  </si>
  <si>
    <t>事務組合RJC　Google　日予算　15,000円→２キャンペーン　各7,500円</t>
    <rPh sb="0" eb="4">
      <t>ジムクミアイ</t>
    </rPh>
    <rPh sb="15" eb="18">
      <t>ヒヨサン</t>
    </rPh>
    <rPh sb="25" eb="26">
      <t>エン</t>
    </rPh>
    <rPh sb="35" eb="36">
      <t>カク</t>
    </rPh>
    <rPh sb="41" eb="42">
      <t>エン</t>
    </rPh>
    <phoneticPr fontId="2"/>
  </si>
  <si>
    <t>一人親方RJC　Yahoo、Google　PC　-75%</t>
    <rPh sb="0" eb="4">
      <t>ヒトリオヤカタ</t>
    </rPh>
    <phoneticPr fontId="2"/>
  </si>
  <si>
    <t>一人親方RJC　Google　キャンペーンをコピーして「コンバージョン数最大化」で配信開始</t>
    <rPh sb="0" eb="4">
      <t>ヒトリオヤカタ</t>
    </rPh>
    <rPh sb="35" eb="36">
      <t>スウ</t>
    </rPh>
    <rPh sb="36" eb="39">
      <t>サイダイカ</t>
    </rPh>
    <rPh sb="41" eb="43">
      <t>ハイシン</t>
    </rPh>
    <rPh sb="43" eb="45">
      <t>カイシ</t>
    </rPh>
    <phoneticPr fontId="2"/>
  </si>
  <si>
    <t>一人親方RJC　Google　日予算　40,000円→２キャンペーン　各20,000円</t>
    <rPh sb="0" eb="4">
      <t>ヒトリオヤカタ</t>
    </rPh>
    <rPh sb="15" eb="18">
      <t>ヒヨサン</t>
    </rPh>
    <rPh sb="25" eb="26">
      <t>エン</t>
    </rPh>
    <rPh sb="35" eb="36">
      <t>カク</t>
    </rPh>
    <rPh sb="42" eb="43">
      <t>エン</t>
    </rPh>
    <phoneticPr fontId="2"/>
  </si>
  <si>
    <t>一人親方RJC　Yahoo　日予算CL15,000円→10,000円　CV20,000円→25,000円</t>
    <rPh sb="0" eb="4">
      <t>ヒトリオヤカタ</t>
    </rPh>
    <rPh sb="14" eb="17">
      <t>ヒヨサン</t>
    </rPh>
    <rPh sb="25" eb="26">
      <t>エン</t>
    </rPh>
    <rPh sb="33" eb="34">
      <t>エン</t>
    </rPh>
    <rPh sb="43" eb="44">
      <t>エン</t>
    </rPh>
    <rPh sb="51" eb="52">
      <t>エン</t>
    </rPh>
    <phoneticPr fontId="2"/>
  </si>
  <si>
    <t>一人親方RJC　Google　日予算CL20,000円→10,000円　CV20,000円→30,000円</t>
    <rPh sb="0" eb="4">
      <t>ヒトリオヤカタ</t>
    </rPh>
    <rPh sb="15" eb="18">
      <t>ヒヨサン</t>
    </rPh>
    <rPh sb="26" eb="27">
      <t>エン</t>
    </rPh>
    <rPh sb="34" eb="35">
      <t>エン</t>
    </rPh>
    <rPh sb="44" eb="45">
      <t>エン</t>
    </rPh>
    <rPh sb="52" eb="53">
      <t>エン</t>
    </rPh>
    <phoneticPr fontId="2"/>
  </si>
  <si>
    <t>事務組合RJC　Yahoo　キャンペーンをコピーして「コンバージョン数最大化」で配信開始（10/1から）　日予算CL5,000円　CV10,000円</t>
    <rPh sb="0" eb="4">
      <t>ジムクミアイ</t>
    </rPh>
    <rPh sb="34" eb="35">
      <t>スウ</t>
    </rPh>
    <rPh sb="35" eb="38">
      <t>サイダイカ</t>
    </rPh>
    <rPh sb="40" eb="42">
      <t>ハイシン</t>
    </rPh>
    <rPh sb="42" eb="44">
      <t>カイシ</t>
    </rPh>
    <rPh sb="53" eb="56">
      <t>ヒヨサン</t>
    </rPh>
    <rPh sb="63" eb="64">
      <t>エン</t>
    </rPh>
    <rPh sb="73" eb="74">
      <t>エン</t>
    </rPh>
    <phoneticPr fontId="2"/>
  </si>
  <si>
    <t>事務組合RJC　Google　日予算CL7,500円→5,000円　CV7,500円→10,000円</t>
    <rPh sb="0" eb="4">
      <t>ジムクミアイ</t>
    </rPh>
    <rPh sb="15" eb="18">
      <t>ヒヨサン</t>
    </rPh>
    <rPh sb="25" eb="26">
      <t>エン</t>
    </rPh>
    <rPh sb="32" eb="33">
      <t>エン</t>
    </rPh>
    <rPh sb="41" eb="42">
      <t>エン</t>
    </rPh>
    <rPh sb="49" eb="50">
      <t>エン</t>
    </rPh>
    <phoneticPr fontId="2"/>
  </si>
  <si>
    <t>一人親方RJC　Yahoo　クリック数最大化10,000円→5,000円</t>
    <rPh sb="0" eb="4">
      <t>ヒトリオヤカタ</t>
    </rPh>
    <rPh sb="18" eb="19">
      <t>スウ</t>
    </rPh>
    <rPh sb="19" eb="22">
      <t>サイダイカ</t>
    </rPh>
    <rPh sb="28" eb="29">
      <t>エン</t>
    </rPh>
    <rPh sb="35" eb="36">
      <t>エン</t>
    </rPh>
    <phoneticPr fontId="2"/>
  </si>
  <si>
    <t>一人親方RJC　Google　CV数最大化30,000円→35,000円　クリック数最大化10,000円→5,000円</t>
    <rPh sb="0" eb="4">
      <t>ヒトリオヤカタ</t>
    </rPh>
    <rPh sb="17" eb="18">
      <t>スウ</t>
    </rPh>
    <rPh sb="18" eb="21">
      <t>サイダイカ</t>
    </rPh>
    <rPh sb="27" eb="28">
      <t>エン</t>
    </rPh>
    <rPh sb="35" eb="36">
      <t>エン</t>
    </rPh>
    <rPh sb="41" eb="42">
      <t>スウ</t>
    </rPh>
    <rPh sb="42" eb="45">
      <t>サイダイカ</t>
    </rPh>
    <rPh sb="51" eb="52">
      <t>エン</t>
    </rPh>
    <rPh sb="58" eb="59">
      <t>エン</t>
    </rPh>
    <phoneticPr fontId="2"/>
  </si>
  <si>
    <t>事務組合RJC　Yahoo　日予算変更　CV数最大化10,000円→5,000円　クリック数最大化5,000円→10,000円</t>
    <rPh sb="0" eb="4">
      <t>ジムクミアイ</t>
    </rPh>
    <rPh sb="14" eb="17">
      <t>ヒヨサン</t>
    </rPh>
    <rPh sb="17" eb="19">
      <t>ヘンコウ</t>
    </rPh>
    <rPh sb="22" eb="23">
      <t>スウ</t>
    </rPh>
    <rPh sb="23" eb="26">
      <t>サイダイカ</t>
    </rPh>
    <rPh sb="32" eb="33">
      <t>エン</t>
    </rPh>
    <rPh sb="39" eb="40">
      <t>エン</t>
    </rPh>
    <rPh sb="45" eb="46">
      <t>スウ</t>
    </rPh>
    <rPh sb="46" eb="49">
      <t>サイダイカ</t>
    </rPh>
    <rPh sb="54" eb="55">
      <t>エン</t>
    </rPh>
    <rPh sb="62" eb="63">
      <t>エン</t>
    </rPh>
    <phoneticPr fontId="2"/>
  </si>
  <si>
    <t>事務組合RJC　Google　日予算変更　CV数最大化10,000円→5,000円　クリック数最大化5,000円→10,000円</t>
    <rPh sb="0" eb="4">
      <t>ジムクミアイ</t>
    </rPh>
    <rPh sb="15" eb="18">
      <t>ヒヨサン</t>
    </rPh>
    <rPh sb="18" eb="20">
      <t>ヘンコウ</t>
    </rPh>
    <rPh sb="23" eb="24">
      <t>スウ</t>
    </rPh>
    <rPh sb="24" eb="27">
      <t>サイダイカ</t>
    </rPh>
    <rPh sb="33" eb="34">
      <t>エン</t>
    </rPh>
    <rPh sb="40" eb="41">
      <t>エン</t>
    </rPh>
    <rPh sb="46" eb="47">
      <t>スウ</t>
    </rPh>
    <rPh sb="47" eb="50">
      <t>サイダイカ</t>
    </rPh>
    <rPh sb="55" eb="56">
      <t>エン</t>
    </rPh>
    <rPh sb="63" eb="64">
      <t>エン</t>
    </rPh>
    <phoneticPr fontId="2"/>
  </si>
  <si>
    <t>事務組合RJC　Yahoo、Google　広告停止（サイトリニューアルに向けて費用削減）</t>
    <rPh sb="0" eb="4">
      <t>ジムクミアイ</t>
    </rPh>
    <rPh sb="21" eb="25">
      <t>コウコクテイシ</t>
    </rPh>
    <rPh sb="36" eb="37">
      <t>ム</t>
    </rPh>
    <rPh sb="39" eb="41">
      <t>ヒヨウ</t>
    </rPh>
    <rPh sb="41" eb="43">
      <t>サクゲン</t>
    </rPh>
    <phoneticPr fontId="2"/>
  </si>
  <si>
    <t>一人親方RJC　Yahoo、Google　かんたん広告追加、一人親方向け広告停止</t>
    <rPh sb="0" eb="4">
      <t>ヒトリオヤカタ</t>
    </rPh>
    <rPh sb="25" eb="27">
      <t>コウコク</t>
    </rPh>
    <rPh sb="27" eb="29">
      <t>ツイカ</t>
    </rPh>
    <rPh sb="30" eb="34">
      <t>ヒトリオヤカタ</t>
    </rPh>
    <rPh sb="34" eb="35">
      <t>ム</t>
    </rPh>
    <rPh sb="36" eb="38">
      <t>コウコク</t>
    </rPh>
    <rPh sb="38" eb="40">
      <t>テイシ</t>
    </rPh>
    <phoneticPr fontId="2"/>
  </si>
  <si>
    <t>一人親方RJC　Yahoo、Google　広告文変更（都道府県追加）、事務組合向け広告停止</t>
    <rPh sb="0" eb="4">
      <t>ヒトリオヤカタ</t>
    </rPh>
    <rPh sb="21" eb="24">
      <t>コウコクブン</t>
    </rPh>
    <rPh sb="24" eb="26">
      <t>ヘンコウ</t>
    </rPh>
    <rPh sb="27" eb="31">
      <t>トドウフケン</t>
    </rPh>
    <rPh sb="31" eb="33">
      <t>ツイカ</t>
    </rPh>
    <rPh sb="35" eb="37">
      <t>ジム</t>
    </rPh>
    <rPh sb="37" eb="39">
      <t>クミアイ</t>
    </rPh>
    <rPh sb="39" eb="40">
      <t>ム</t>
    </rPh>
    <rPh sb="41" eb="43">
      <t>コウコク</t>
    </rPh>
    <rPh sb="43" eb="45">
      <t>テイシ</t>
    </rPh>
    <phoneticPr fontId="2"/>
  </si>
  <si>
    <t>日予算の変更　CV数最大化とクリック数最大化を逆転させる　Yahoo　CL 25,000円、CV 5,000円　Google　CL 35,000円、CV 5,000円</t>
    <phoneticPr fontId="2"/>
  </si>
  <si>
    <t>一人親方RJC　「かんたん」キーワード追加</t>
    <rPh sb="0" eb="4">
      <t>ヒトリオヤカタ</t>
    </rPh>
    <rPh sb="19" eb="21">
      <t>ツイカ</t>
    </rPh>
    <phoneticPr fontId="2"/>
  </si>
  <si>
    <t>一人親方RJC　広告文面変更「ネットでかんたん」→「かんたん即日発行」</t>
    <rPh sb="0" eb="4">
      <t>ヒトリオヤカタ</t>
    </rPh>
    <rPh sb="8" eb="12">
      <t>コウコクブンメン</t>
    </rPh>
    <rPh sb="12" eb="14">
      <t>ヘンコウ</t>
    </rPh>
    <phoneticPr fontId="2"/>
  </si>
  <si>
    <t>一人親方RJC　トップ画像変更「ネットでかんたん加入」→「かんたんだから即日発行」</t>
    <rPh sb="0" eb="4">
      <t>ヒトリオヤカタ</t>
    </rPh>
    <rPh sb="11" eb="13">
      <t>ガゾウ</t>
    </rPh>
    <rPh sb="13" eb="15">
      <t>ヘンコウ</t>
    </rPh>
    <rPh sb="24" eb="26">
      <t>カニュウ</t>
    </rPh>
    <rPh sb="36" eb="40">
      <t>ソクジツハッコウ</t>
    </rPh>
    <phoneticPr fontId="2"/>
  </si>
  <si>
    <t>事務組合RJC　広告再開　日予算15,000円　クリック数最大化のみ</t>
    <rPh sb="0" eb="4">
      <t>ジムクミアイ</t>
    </rPh>
    <rPh sb="8" eb="12">
      <t>コウコクサイカイ</t>
    </rPh>
    <rPh sb="13" eb="16">
      <t>ヒヨサン</t>
    </rPh>
    <rPh sb="22" eb="23">
      <t>エン</t>
    </rPh>
    <rPh sb="28" eb="32">
      <t>スウサイダイカ</t>
    </rPh>
    <phoneticPr fontId="2"/>
  </si>
  <si>
    <t>一人親方RJC　Google　0～5、20～の広告配信停止　費用を融通して日中の最上部割合を上げるため</t>
    <rPh sb="0" eb="4">
      <t>ヒトリオヤカタ</t>
    </rPh>
    <rPh sb="23" eb="25">
      <t>コウコク</t>
    </rPh>
    <rPh sb="25" eb="27">
      <t>ハイシン</t>
    </rPh>
    <rPh sb="27" eb="29">
      <t>テイシ</t>
    </rPh>
    <rPh sb="30" eb="32">
      <t>ヒヨウ</t>
    </rPh>
    <rPh sb="33" eb="35">
      <t>ユウヅウ</t>
    </rPh>
    <rPh sb="37" eb="39">
      <t>ニッチュウ</t>
    </rPh>
    <rPh sb="40" eb="45">
      <t>サイジョウブワリアイ</t>
    </rPh>
    <rPh sb="46" eb="47">
      <t>ア</t>
    </rPh>
    <phoneticPr fontId="2"/>
  </si>
  <si>
    <t>一人親方RJC　Google　全時間帯配信へ戻す</t>
    <rPh sb="0" eb="4">
      <t>ヒトリオヤカタ</t>
    </rPh>
    <rPh sb="15" eb="16">
      <t>ゼン</t>
    </rPh>
    <rPh sb="16" eb="19">
      <t>ジカンタイ</t>
    </rPh>
    <rPh sb="19" eb="21">
      <t>ハイシン</t>
    </rPh>
    <rPh sb="22" eb="23">
      <t>モド</t>
    </rPh>
    <phoneticPr fontId="2"/>
  </si>
  <si>
    <t>一人親方RJC　Google、Yahoo　9～12、15～17時　入札単価調整比+50%</t>
    <rPh sb="0" eb="4">
      <t>ヒトリオヤカタ</t>
    </rPh>
    <rPh sb="31" eb="32">
      <t>ジ</t>
    </rPh>
    <rPh sb="33" eb="40">
      <t>ニュウサツタンカチョウセイヒ</t>
    </rPh>
    <phoneticPr fontId="2"/>
  </si>
  <si>
    <t>一人親方RJC　トップ画像　田中依里子写真（即日加入）に戻す</t>
    <rPh sb="0" eb="4">
      <t>ヒトリオヤカタ</t>
    </rPh>
    <rPh sb="11" eb="13">
      <t>ガゾウ</t>
    </rPh>
    <rPh sb="14" eb="19">
      <t>タナカエリコ</t>
    </rPh>
    <rPh sb="19" eb="21">
      <t>シャシン</t>
    </rPh>
    <rPh sb="22" eb="26">
      <t>ソクジツカニュウ</t>
    </rPh>
    <rPh sb="28" eb="29">
      <t>モド</t>
    </rPh>
    <phoneticPr fontId="2"/>
  </si>
  <si>
    <t>一人親方RJC　Google　クリック数最大化　日予算35,000円→25,000円</t>
    <rPh sb="0" eb="4">
      <t>ヒトリオヤカタ</t>
    </rPh>
    <rPh sb="19" eb="23">
      <t>スウサイダイカ</t>
    </rPh>
    <rPh sb="24" eb="27">
      <t>ヒヨサン</t>
    </rPh>
    <rPh sb="33" eb="34">
      <t>エン</t>
    </rPh>
    <rPh sb="41" eb="42">
      <t>エン</t>
    </rPh>
    <phoneticPr fontId="2"/>
  </si>
  <si>
    <t>一人親方RJC　Google、Yahoo　CV数最大化キャンペーン停止し、クリック数最大化のみとする</t>
    <rPh sb="0" eb="4">
      <t>ヒトリオヤカタ</t>
    </rPh>
    <rPh sb="23" eb="24">
      <t>スウ</t>
    </rPh>
    <rPh sb="24" eb="27">
      <t>サイダイカ</t>
    </rPh>
    <rPh sb="33" eb="35">
      <t>テイシ</t>
    </rPh>
    <rPh sb="41" eb="45">
      <t>スウサイダイカ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</si>
</sst>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24"/>
      <color rgb="FFFF0000"/>
      <name val="Yu Gothic"/>
      <family val="3"/>
      <charset val="128"/>
      <scheme val="minor"/>
    </font>
    <font>
      <sz val="1"/>
      <name val="Yu Gothic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6" fontId="0" fillId="2" borderId="0" xfId="1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20" fontId="0" fillId="0" borderId="0" xfId="0" applyNumberFormat="1"/>
    <xf numFmtId="56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6" fontId="0" fillId="0" borderId="0" xfId="1" applyFont="1" applyFill="1" applyAlignment="1">
      <alignment vertical="center"/>
    </xf>
    <xf numFmtId="0" fontId="0" fillId="0" borderId="0" xfId="0"/>
    <xf numFmtId="0" fontId="0" fillId="0" borderId="0" xfId="0"/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5" fillId="2" borderId="0" xfId="0" applyFont="1" applyFill="1" applyAlignment="1">
      <alignment vertical="center"/>
    </xf>
    <xf numFmtId="0" fontId="0" fillId="0" borderId="0" xfId="0"/>
    <xf numFmtId="56" fontId="0" fillId="0" borderId="0" xfId="0" quotePrefix="1" applyNumberFormat="1"/>
    <xf numFmtId="0" fontId="0" fillId="0" borderId="0" xfId="0" quotePrefix="1"/>
    <xf numFmtId="0" fontId="0" fillId="2" borderId="0" xfId="1" applyNumberFormat="1" applyFont="1" applyFill="1" applyAlignment="1">
      <alignment vertical="center"/>
    </xf>
    <xf numFmtId="0" fontId="6" fillId="0" borderId="0" xfId="0" applyFont="1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Fill="1"/>
    <xf numFmtId="14" fontId="0" fillId="0" borderId="0" xfId="0" applyNumberFormat="1"/>
    <xf numFmtId="0" fontId="0" fillId="0" borderId="0" xfId="0"/>
    <xf numFmtId="0" fontId="0" fillId="0" borderId="0" xfId="0"/>
    <xf numFmtId="0" fontId="7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56" fontId="0" fillId="0" borderId="0" xfId="0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/>
    <xf numFmtId="56" fontId="0" fillId="2" borderId="0" xfId="0" applyNumberFormat="1" applyFill="1"/>
    <xf numFmtId="0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Fill="1"/>
    <xf numFmtId="0" fontId="0" fillId="0" borderId="0" xfId="0"/>
  </cellXfs>
  <cellStyles count="7">
    <cellStyle name="通貨" xfId="1" builtinId="7"/>
    <cellStyle name="通貨 2" xfId="2" xr:uid="{FC7AD836-BA10-4336-AC9C-9B00C9E2EA3E}"/>
    <cellStyle name="通貨 3" xfId="3" xr:uid="{0894116F-C0EC-4585-BADE-497C01FABAC8}"/>
    <cellStyle name="通貨 4" xfId="4" xr:uid="{7955F792-9DF9-452F-977C-496BD5DF3ABA}"/>
    <cellStyle name="通貨 5" xfId="5" xr:uid="{6B76D475-0474-4344-A7B5-28F65D6B5092}"/>
    <cellStyle name="通貨 6" xfId="6" xr:uid="{BCBFAEDB-206D-408F-80FE-D1F1CC335F98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101"/>
  <sheetViews>
    <sheetView tabSelected="1" zoomScale="90" zoomScaleNormal="90" workbookViewId="0">
      <selection activeCell="I19" sqref="I19"/>
    </sheetView>
  </sheetViews>
  <sheetFormatPr defaultColWidth="8.75" defaultRowHeight="18.75"/>
  <cols>
    <col min="1" max="1" width="8.75" style="7"/>
    <col min="2" max="2" width="12.125" style="7" customWidth="1"/>
    <col min="3" max="3" width="19.125" style="7" customWidth="1"/>
    <col min="4" max="4" width="9.125" style="7" bestFit="1" customWidth="1"/>
    <col min="5" max="5" width="9.125" style="13" bestFit="1" customWidth="1"/>
    <col min="6" max="6" width="10.125" style="7" customWidth="1"/>
    <col min="7" max="7" width="9.875" style="7" customWidth="1"/>
    <col min="8" max="8" width="13.375" style="7" customWidth="1"/>
    <col min="9" max="9" width="10.125" style="7" customWidth="1"/>
    <col min="10" max="10" width="10.625" style="7" bestFit="1" customWidth="1"/>
    <col min="11" max="16384" width="8.75" style="7"/>
  </cols>
  <sheetData>
    <row r="1" spans="1:12">
      <c r="A1" s="7" t="s">
        <v>0</v>
      </c>
      <c r="G1" s="28" t="s">
        <v>61</v>
      </c>
    </row>
    <row r="2" spans="1:12">
      <c r="A2" s="52" t="s">
        <v>1</v>
      </c>
      <c r="B2" s="52"/>
      <c r="C2" s="52"/>
      <c r="D2" s="52"/>
      <c r="E2" s="52"/>
      <c r="F2" s="52"/>
      <c r="G2" s="52"/>
      <c r="H2" s="52"/>
    </row>
    <row r="3" spans="1:12">
      <c r="A3" s="52" t="s">
        <v>2</v>
      </c>
      <c r="B3" s="52"/>
      <c r="C3" s="52"/>
      <c r="D3" s="52"/>
      <c r="E3" s="52"/>
      <c r="F3" s="52"/>
      <c r="G3" s="52"/>
      <c r="H3" s="52"/>
    </row>
    <row r="4" spans="1:12">
      <c r="A4" s="3" t="s">
        <v>15</v>
      </c>
    </row>
    <row r="6" spans="1:12">
      <c r="A6" s="24" t="s">
        <v>18</v>
      </c>
      <c r="B6" s="24"/>
      <c r="C6" s="51" t="s">
        <v>23</v>
      </c>
      <c r="D6" s="51"/>
      <c r="E6" s="51"/>
      <c r="F6" s="51"/>
      <c r="G6" s="24" t="s">
        <v>10</v>
      </c>
    </row>
    <row r="7" spans="1:12">
      <c r="A7" s="24" t="s">
        <v>20</v>
      </c>
      <c r="B7" s="24"/>
      <c r="C7" s="51" t="s">
        <v>62</v>
      </c>
      <c r="D7" s="51"/>
      <c r="E7" s="51"/>
      <c r="F7" s="51"/>
      <c r="G7" s="24" t="s">
        <v>11</v>
      </c>
      <c r="I7" s="7" t="s">
        <v>47</v>
      </c>
    </row>
    <row r="8" spans="1:12">
      <c r="A8" s="13" t="s">
        <v>3</v>
      </c>
      <c r="B8" s="13"/>
      <c r="C8" s="51" t="s">
        <v>24</v>
      </c>
      <c r="D8" s="51"/>
      <c r="E8" s="51"/>
      <c r="F8" s="51"/>
      <c r="G8" s="7" t="s">
        <v>9</v>
      </c>
      <c r="I8" s="7" t="s">
        <v>46</v>
      </c>
      <c r="L8" s="7" t="s">
        <v>45</v>
      </c>
    </row>
    <row r="9" spans="1:12" s="27" customFormat="1" hidden="1">
      <c r="A9" s="27" t="s">
        <v>4</v>
      </c>
      <c r="C9" s="51" t="s">
        <v>57</v>
      </c>
      <c r="D9" s="51"/>
      <c r="E9" s="51"/>
      <c r="F9" s="51"/>
      <c r="G9" s="27" t="s">
        <v>58</v>
      </c>
    </row>
    <row r="10" spans="1:12" ht="18.75" customHeight="1">
      <c r="A10" s="24" t="s">
        <v>19</v>
      </c>
      <c r="B10" s="24"/>
      <c r="C10" s="51" t="s">
        <v>30</v>
      </c>
      <c r="D10" s="51"/>
      <c r="E10" s="51"/>
      <c r="F10" s="51"/>
      <c r="G10" s="24" t="s">
        <v>13</v>
      </c>
    </row>
    <row r="11" spans="1:12" ht="18.75" customHeight="1">
      <c r="A11" s="24" t="s">
        <v>16</v>
      </c>
      <c r="B11" s="24"/>
      <c r="C11" s="51" t="s">
        <v>31</v>
      </c>
      <c r="D11" s="51"/>
      <c r="E11" s="51"/>
      <c r="F11" s="51"/>
      <c r="G11" s="24" t="s">
        <v>14</v>
      </c>
    </row>
    <row r="12" spans="1:12" s="8" customFormat="1" hidden="1">
      <c r="A12" s="13" t="s">
        <v>49</v>
      </c>
      <c r="B12" s="13"/>
      <c r="C12" s="51" t="s">
        <v>83</v>
      </c>
      <c r="D12" s="51"/>
      <c r="E12" s="51"/>
      <c r="F12" s="51"/>
      <c r="G12" s="8" t="s">
        <v>29</v>
      </c>
      <c r="I12" s="17" t="s">
        <v>38</v>
      </c>
      <c r="L12" s="8" t="s">
        <v>41</v>
      </c>
    </row>
    <row r="13" spans="1:12" s="9" customFormat="1" ht="18" hidden="1" customHeight="1">
      <c r="A13" s="13" t="s">
        <v>50</v>
      </c>
      <c r="B13" s="13"/>
      <c r="C13" s="51" t="s">
        <v>82</v>
      </c>
      <c r="D13" s="51"/>
      <c r="E13" s="51"/>
      <c r="F13" s="51"/>
      <c r="G13" s="9" t="s">
        <v>81</v>
      </c>
      <c r="I13" s="5"/>
    </row>
    <row r="14" spans="1:12">
      <c r="A14" s="13" t="s">
        <v>5</v>
      </c>
      <c r="B14" s="13"/>
      <c r="C14" s="51" t="s">
        <v>17</v>
      </c>
      <c r="D14" s="51"/>
      <c r="E14" s="51"/>
      <c r="F14" s="51"/>
      <c r="G14" s="7" t="s">
        <v>12</v>
      </c>
      <c r="I14" s="18" t="s">
        <v>40</v>
      </c>
      <c r="L14" s="18" t="s">
        <v>42</v>
      </c>
    </row>
    <row r="15" spans="1:12" s="8" customFormat="1">
      <c r="D15" s="10"/>
      <c r="E15" s="13"/>
      <c r="I15" s="17">
        <v>108</v>
      </c>
      <c r="L15" s="19" t="s">
        <v>44</v>
      </c>
    </row>
    <row r="16" spans="1:12" ht="39.75">
      <c r="B16" s="21" t="s">
        <v>48</v>
      </c>
      <c r="D16" s="12"/>
      <c r="I16" s="17" t="s">
        <v>39</v>
      </c>
      <c r="L16" s="7" t="s">
        <v>43</v>
      </c>
    </row>
    <row r="17" spans="1:11">
      <c r="B17" s="4"/>
      <c r="D17" s="12"/>
      <c r="F17" s="7">
        <v>3</v>
      </c>
    </row>
    <row r="18" spans="1:11">
      <c r="A18" s="15" t="s">
        <v>33</v>
      </c>
      <c r="B18" s="15"/>
      <c r="C18" s="15" t="s">
        <v>34</v>
      </c>
      <c r="D18" s="6" t="s">
        <v>6</v>
      </c>
      <c r="E18" s="14" t="s">
        <v>32</v>
      </c>
      <c r="F18" s="6" t="s">
        <v>7</v>
      </c>
      <c r="G18" s="6" t="s">
        <v>8</v>
      </c>
      <c r="H18" s="6"/>
      <c r="J18" s="6" t="s">
        <v>22</v>
      </c>
      <c r="K18" s="22"/>
    </row>
    <row r="19" spans="1:11" s="2" customFormat="1" ht="26.25" customHeight="1">
      <c r="A19" s="16" t="s">
        <v>18</v>
      </c>
      <c r="B19" s="16"/>
      <c r="C19" s="16" t="s">
        <v>37</v>
      </c>
      <c r="D19" s="1">
        <v>14020</v>
      </c>
      <c r="E19" s="1">
        <v>25000</v>
      </c>
      <c r="F19" s="1">
        <f>E19*$F$17</f>
        <v>75000</v>
      </c>
      <c r="G19" s="1">
        <f t="shared" ref="G19:G24" si="0">D19-F19</f>
        <v>-60980</v>
      </c>
      <c r="H19" s="16" t="s">
        <v>18</v>
      </c>
      <c r="I19" s="11">
        <v>61000</v>
      </c>
      <c r="J19" s="5">
        <v>44519</v>
      </c>
      <c r="K19" s="23">
        <v>3105</v>
      </c>
    </row>
    <row r="20" spans="1:11" s="2" customFormat="1" ht="26.25" customHeight="1">
      <c r="A20" s="16" t="s">
        <v>20</v>
      </c>
      <c r="B20" s="16"/>
      <c r="C20" s="16" t="s">
        <v>37</v>
      </c>
      <c r="D20" s="1">
        <v>17937</v>
      </c>
      <c r="E20" s="1">
        <v>25000</v>
      </c>
      <c r="F20" s="1">
        <f t="shared" ref="F20:F27" si="1">E20*$F$17</f>
        <v>75000</v>
      </c>
      <c r="G20" s="1">
        <f t="shared" si="0"/>
        <v>-57063</v>
      </c>
      <c r="H20" s="16" t="s">
        <v>20</v>
      </c>
      <c r="I20" s="11">
        <v>57000</v>
      </c>
      <c r="J20" s="36">
        <v>44519</v>
      </c>
      <c r="K20" s="23">
        <v>1080</v>
      </c>
    </row>
    <row r="21" spans="1:11" s="2" customFormat="1" ht="26.25" customHeight="1">
      <c r="A21" s="16" t="s">
        <v>3</v>
      </c>
      <c r="B21" s="16"/>
      <c r="C21" s="16" t="s">
        <v>37</v>
      </c>
      <c r="D21" s="1">
        <v>5934</v>
      </c>
      <c r="E21" s="1">
        <v>1000</v>
      </c>
      <c r="F21" s="1">
        <f t="shared" si="1"/>
        <v>3000</v>
      </c>
      <c r="G21" s="1">
        <f>D21-F21</f>
        <v>2934</v>
      </c>
      <c r="H21" s="16" t="s">
        <v>3</v>
      </c>
      <c r="I21" s="11"/>
      <c r="J21" s="35"/>
      <c r="K21" s="23">
        <v>3105</v>
      </c>
    </row>
    <row r="22" spans="1:11" s="2" customFormat="1" ht="26.25" hidden="1" customHeight="1">
      <c r="A22" s="16" t="s">
        <v>59</v>
      </c>
      <c r="B22" s="16"/>
      <c r="C22" s="16" t="s">
        <v>37</v>
      </c>
      <c r="D22" s="1"/>
      <c r="E22" s="1">
        <v>1000</v>
      </c>
      <c r="F22" s="1">
        <f t="shared" si="1"/>
        <v>3000</v>
      </c>
      <c r="G22" s="1">
        <f>D22-F22</f>
        <v>-3000</v>
      </c>
      <c r="H22" s="16"/>
      <c r="I22" s="11"/>
      <c r="J22" s="5">
        <v>44295</v>
      </c>
      <c r="K22" s="23"/>
    </row>
    <row r="23" spans="1:11" s="50" customFormat="1" ht="26.25" customHeight="1">
      <c r="A23" s="16" t="s">
        <v>19</v>
      </c>
      <c r="B23" s="16"/>
      <c r="C23" s="16" t="s">
        <v>35</v>
      </c>
      <c r="D23" s="1">
        <v>11931</v>
      </c>
      <c r="E23" s="1">
        <v>15000</v>
      </c>
      <c r="F23" s="1">
        <f t="shared" si="1"/>
        <v>45000</v>
      </c>
      <c r="G23" s="1">
        <f t="shared" si="0"/>
        <v>-33069</v>
      </c>
      <c r="H23" s="16" t="s">
        <v>19</v>
      </c>
      <c r="I23" s="1">
        <v>33000</v>
      </c>
      <c r="J23" s="48">
        <v>44519</v>
      </c>
      <c r="K23" s="49">
        <v>3081</v>
      </c>
    </row>
    <row r="24" spans="1:11" s="50" customFormat="1" ht="26.25" customHeight="1">
      <c r="A24" s="16" t="s">
        <v>21</v>
      </c>
      <c r="B24" s="16"/>
      <c r="C24" s="16" t="s">
        <v>35</v>
      </c>
      <c r="D24" s="1">
        <v>12109</v>
      </c>
      <c r="E24" s="1">
        <v>15000</v>
      </c>
      <c r="F24" s="1">
        <f t="shared" si="1"/>
        <v>45000</v>
      </c>
      <c r="G24" s="1">
        <f t="shared" si="0"/>
        <v>-32891</v>
      </c>
      <c r="H24" s="16" t="s">
        <v>21</v>
      </c>
      <c r="I24" s="1">
        <v>33000</v>
      </c>
      <c r="J24" s="48">
        <v>44519</v>
      </c>
      <c r="K24" s="49">
        <v>8004</v>
      </c>
    </row>
    <row r="25" spans="1:11" s="2" customFormat="1" ht="26.25" hidden="1" customHeight="1">
      <c r="A25" s="16" t="s">
        <v>49</v>
      </c>
      <c r="B25" s="16"/>
      <c r="C25" s="16" t="s">
        <v>51</v>
      </c>
      <c r="D25" s="1"/>
      <c r="E25" s="1"/>
      <c r="F25" s="1">
        <f t="shared" si="1"/>
        <v>0</v>
      </c>
      <c r="G25" s="1">
        <f t="shared" ref="G25" si="2">D25-F25</f>
        <v>0</v>
      </c>
      <c r="H25" s="16" t="s">
        <v>49</v>
      </c>
      <c r="I25" s="11"/>
      <c r="J25" s="5">
        <v>44266</v>
      </c>
      <c r="K25" s="20"/>
    </row>
    <row r="26" spans="1:11" s="2" customFormat="1" ht="26.25" hidden="1" customHeight="1">
      <c r="A26" s="16" t="s">
        <v>50</v>
      </c>
      <c r="B26" s="16"/>
      <c r="C26" s="16" t="s">
        <v>51</v>
      </c>
      <c r="D26" s="1"/>
      <c r="E26" s="1"/>
      <c r="F26" s="1">
        <f t="shared" si="1"/>
        <v>0</v>
      </c>
      <c r="G26" s="1">
        <f t="shared" ref="G26" si="3">D26-F26</f>
        <v>0</v>
      </c>
      <c r="H26" s="16" t="s">
        <v>50</v>
      </c>
      <c r="I26" s="11"/>
      <c r="J26" s="5">
        <v>44266</v>
      </c>
      <c r="K26" s="20"/>
    </row>
    <row r="27" spans="1:11" s="2" customFormat="1" ht="26.25" customHeight="1">
      <c r="A27" s="16" t="s">
        <v>5</v>
      </c>
      <c r="B27" s="16"/>
      <c r="C27" s="16" t="s">
        <v>36</v>
      </c>
      <c r="D27" s="1">
        <v>5847</v>
      </c>
      <c r="E27" s="1">
        <v>5000</v>
      </c>
      <c r="F27" s="1">
        <f t="shared" si="1"/>
        <v>15000</v>
      </c>
      <c r="G27" s="1">
        <f>D27-F27</f>
        <v>-9153</v>
      </c>
      <c r="H27" s="16" t="s">
        <v>5</v>
      </c>
      <c r="I27" s="11">
        <v>9000</v>
      </c>
      <c r="J27" s="5">
        <v>44519</v>
      </c>
      <c r="K27" s="23">
        <v>2103</v>
      </c>
    </row>
    <row r="29" spans="1:11">
      <c r="B29" s="7" t="s">
        <v>25</v>
      </c>
      <c r="C29" s="7" t="s">
        <v>26</v>
      </c>
    </row>
    <row r="30" spans="1:11">
      <c r="B30" s="7" t="s">
        <v>27</v>
      </c>
      <c r="C30" s="7" t="s">
        <v>28</v>
      </c>
    </row>
    <row r="32" spans="1:11">
      <c r="B32" s="25">
        <v>44272</v>
      </c>
      <c r="C32" s="7" t="s">
        <v>52</v>
      </c>
    </row>
    <row r="33" spans="2:3">
      <c r="B33" s="25">
        <v>44273</v>
      </c>
      <c r="C33" s="7" t="s">
        <v>53</v>
      </c>
    </row>
    <row r="34" spans="2:3">
      <c r="B34" s="25">
        <v>44277</v>
      </c>
      <c r="C34" s="26" t="s">
        <v>54</v>
      </c>
    </row>
    <row r="35" spans="2:3">
      <c r="B35" s="25">
        <v>44281</v>
      </c>
      <c r="C35" s="26" t="s">
        <v>55</v>
      </c>
    </row>
    <row r="36" spans="2:3">
      <c r="B36" s="25">
        <v>44288</v>
      </c>
      <c r="C36" s="7" t="s">
        <v>56</v>
      </c>
    </row>
    <row r="37" spans="2:3">
      <c r="B37" s="25">
        <v>44293</v>
      </c>
      <c r="C37" s="7" t="s">
        <v>60</v>
      </c>
    </row>
    <row r="38" spans="2:3" s="31" customFormat="1">
      <c r="B38" s="25">
        <v>44306</v>
      </c>
      <c r="C38" s="31" t="s">
        <v>74</v>
      </c>
    </row>
    <row r="39" spans="2:3">
      <c r="B39" s="25">
        <v>44322</v>
      </c>
      <c r="C39" s="7" t="s">
        <v>63</v>
      </c>
    </row>
    <row r="40" spans="2:3">
      <c r="B40" s="25">
        <v>44323</v>
      </c>
      <c r="C40" s="7" t="s">
        <v>64</v>
      </c>
    </row>
    <row r="41" spans="2:3">
      <c r="B41" s="25">
        <v>44326</v>
      </c>
      <c r="C41" s="7" t="s">
        <v>65</v>
      </c>
    </row>
    <row r="42" spans="2:3">
      <c r="B42" s="25">
        <v>44333</v>
      </c>
      <c r="C42" s="7" t="s">
        <v>66</v>
      </c>
    </row>
    <row r="43" spans="2:3">
      <c r="B43" s="25">
        <v>44334</v>
      </c>
      <c r="C43" s="7" t="s">
        <v>67</v>
      </c>
    </row>
    <row r="44" spans="2:3">
      <c r="B44" s="25">
        <v>44336</v>
      </c>
      <c r="C44" s="7" t="s">
        <v>68</v>
      </c>
    </row>
    <row r="45" spans="2:3">
      <c r="B45" s="25">
        <v>44342</v>
      </c>
      <c r="C45" s="7" t="s">
        <v>69</v>
      </c>
    </row>
    <row r="46" spans="2:3">
      <c r="B46" s="25">
        <v>44344</v>
      </c>
      <c r="C46" s="7" t="s">
        <v>70</v>
      </c>
    </row>
    <row r="47" spans="2:3">
      <c r="B47" s="25">
        <v>44355</v>
      </c>
      <c r="C47" s="7" t="s">
        <v>71</v>
      </c>
    </row>
    <row r="48" spans="2:3">
      <c r="B48" s="25">
        <v>44356</v>
      </c>
      <c r="C48" s="29" t="s">
        <v>72</v>
      </c>
    </row>
    <row r="49" spans="2:3">
      <c r="B49" s="25">
        <v>44361</v>
      </c>
      <c r="C49" s="30" t="s">
        <v>73</v>
      </c>
    </row>
    <row r="50" spans="2:3">
      <c r="B50" s="25">
        <v>44365</v>
      </c>
      <c r="C50" s="7" t="s">
        <v>75</v>
      </c>
    </row>
    <row r="51" spans="2:3">
      <c r="B51" s="25">
        <v>44368</v>
      </c>
      <c r="C51" s="7" t="s">
        <v>76</v>
      </c>
    </row>
    <row r="52" spans="2:3">
      <c r="B52" s="25">
        <v>44375</v>
      </c>
      <c r="C52" s="7" t="s">
        <v>77</v>
      </c>
    </row>
    <row r="53" spans="2:3">
      <c r="B53" s="25">
        <v>44375</v>
      </c>
      <c r="C53" s="7" t="s">
        <v>78</v>
      </c>
    </row>
    <row r="54" spans="2:3">
      <c r="B54" s="25">
        <v>44377</v>
      </c>
      <c r="C54" s="32" t="s">
        <v>79</v>
      </c>
    </row>
    <row r="55" spans="2:3">
      <c r="B55" s="25">
        <v>44377</v>
      </c>
      <c r="C55" s="32" t="s">
        <v>80</v>
      </c>
    </row>
    <row r="56" spans="2:3">
      <c r="B56" s="25">
        <v>44386</v>
      </c>
      <c r="C56" s="7" t="s">
        <v>84</v>
      </c>
    </row>
    <row r="57" spans="2:3">
      <c r="B57" s="25">
        <v>44390</v>
      </c>
      <c r="C57" s="7" t="s">
        <v>85</v>
      </c>
    </row>
    <row r="58" spans="2:3">
      <c r="B58" s="25">
        <v>44393</v>
      </c>
      <c r="C58" s="33" t="s">
        <v>86</v>
      </c>
    </row>
    <row r="59" spans="2:3">
      <c r="B59" s="25">
        <v>44414</v>
      </c>
      <c r="C59" s="34" t="s">
        <v>87</v>
      </c>
    </row>
    <row r="60" spans="2:3">
      <c r="B60" s="25">
        <v>44414</v>
      </c>
      <c r="C60" s="34" t="s">
        <v>88</v>
      </c>
    </row>
    <row r="61" spans="2:3">
      <c r="B61" s="25">
        <v>44435</v>
      </c>
      <c r="C61" s="7" t="s">
        <v>89</v>
      </c>
    </row>
    <row r="62" spans="2:3">
      <c r="B62" s="25">
        <v>44438</v>
      </c>
      <c r="C62" s="37" t="s">
        <v>90</v>
      </c>
    </row>
    <row r="63" spans="2:3">
      <c r="B63" s="25">
        <v>44438</v>
      </c>
      <c r="C63" s="7" t="s">
        <v>91</v>
      </c>
    </row>
    <row r="64" spans="2:3">
      <c r="B64" s="25">
        <v>44440</v>
      </c>
      <c r="C64" s="7" t="s">
        <v>92</v>
      </c>
    </row>
    <row r="65" spans="2:3">
      <c r="B65" s="25">
        <v>44440</v>
      </c>
      <c r="C65" s="7" t="s">
        <v>93</v>
      </c>
    </row>
    <row r="66" spans="2:3">
      <c r="B66" s="25">
        <v>44441</v>
      </c>
      <c r="C66" s="38" t="s">
        <v>94</v>
      </c>
    </row>
    <row r="67" spans="2:3">
      <c r="B67" s="25">
        <v>44447</v>
      </c>
      <c r="C67" s="7" t="s">
        <v>95</v>
      </c>
    </row>
    <row r="68" spans="2:3">
      <c r="B68" s="25">
        <v>44447</v>
      </c>
      <c r="C68" s="7" t="s">
        <v>96</v>
      </c>
    </row>
    <row r="69" spans="2:3">
      <c r="B69" s="25">
        <v>44453</v>
      </c>
      <c r="C69" s="7" t="s">
        <v>97</v>
      </c>
    </row>
    <row r="70" spans="2:3">
      <c r="B70" s="25">
        <v>44453</v>
      </c>
      <c r="C70" s="7" t="s">
        <v>98</v>
      </c>
    </row>
    <row r="71" spans="2:3">
      <c r="B71" s="25">
        <v>44456</v>
      </c>
      <c r="C71" s="39" t="s">
        <v>99</v>
      </c>
    </row>
    <row r="72" spans="2:3">
      <c r="B72" s="25">
        <v>44456</v>
      </c>
      <c r="C72" s="7" t="s">
        <v>100</v>
      </c>
    </row>
    <row r="73" spans="2:3">
      <c r="B73" s="25">
        <v>44456</v>
      </c>
      <c r="C73" s="7" t="s">
        <v>101</v>
      </c>
    </row>
    <row r="74" spans="2:3">
      <c r="B74" s="25">
        <v>44460</v>
      </c>
      <c r="C74" s="40" t="s">
        <v>102</v>
      </c>
    </row>
    <row r="75" spans="2:3">
      <c r="B75" s="25">
        <v>44461</v>
      </c>
      <c r="C75" s="41" t="s">
        <v>103</v>
      </c>
    </row>
    <row r="76" spans="2:3">
      <c r="B76" s="25">
        <v>44461</v>
      </c>
      <c r="C76" s="41" t="s">
        <v>104</v>
      </c>
    </row>
    <row r="77" spans="2:3">
      <c r="B77" s="25">
        <v>44463</v>
      </c>
      <c r="C77" s="7" t="s">
        <v>105</v>
      </c>
    </row>
    <row r="78" spans="2:3">
      <c r="B78" s="25">
        <v>44463</v>
      </c>
      <c r="C78" s="42" t="s">
        <v>106</v>
      </c>
    </row>
    <row r="79" spans="2:3">
      <c r="B79" s="25">
        <v>44463</v>
      </c>
      <c r="C79" s="42" t="s">
        <v>107</v>
      </c>
    </row>
    <row r="80" spans="2:3">
      <c r="B80" s="25">
        <v>44469</v>
      </c>
      <c r="C80" s="7" t="s">
        <v>108</v>
      </c>
    </row>
    <row r="81" spans="2:3">
      <c r="B81" s="25">
        <v>44469</v>
      </c>
      <c r="C81" s="43" t="s">
        <v>109</v>
      </c>
    </row>
    <row r="82" spans="2:3">
      <c r="B82" s="25">
        <v>44469</v>
      </c>
      <c r="C82" s="43" t="s">
        <v>110</v>
      </c>
    </row>
    <row r="83" spans="2:3">
      <c r="B83" s="25">
        <v>44469</v>
      </c>
      <c r="C83" s="43" t="s">
        <v>111</v>
      </c>
    </row>
    <row r="84" spans="2:3">
      <c r="B84" s="25">
        <v>44473</v>
      </c>
      <c r="C84" s="7" t="s">
        <v>112</v>
      </c>
    </row>
    <row r="85" spans="2:3">
      <c r="B85" s="25">
        <v>44473</v>
      </c>
      <c r="C85" s="44" t="s">
        <v>113</v>
      </c>
    </row>
    <row r="86" spans="2:3">
      <c r="B86" s="25">
        <v>44480</v>
      </c>
      <c r="C86" s="7" t="s">
        <v>114</v>
      </c>
    </row>
    <row r="87" spans="2:3">
      <c r="B87" s="25">
        <v>44480</v>
      </c>
      <c r="C87" s="45" t="s">
        <v>115</v>
      </c>
    </row>
    <row r="88" spans="2:3">
      <c r="B88" s="25">
        <v>44482</v>
      </c>
      <c r="C88" s="7" t="s">
        <v>116</v>
      </c>
    </row>
    <row r="89" spans="2:3">
      <c r="B89" s="25">
        <v>44488</v>
      </c>
      <c r="C89" s="7" t="s">
        <v>117</v>
      </c>
    </row>
    <row r="90" spans="2:3">
      <c r="B90" s="25">
        <v>44490</v>
      </c>
      <c r="C90" s="46" t="s">
        <v>118</v>
      </c>
    </row>
    <row r="91" spans="2:3">
      <c r="B91" s="25">
        <v>44494</v>
      </c>
      <c r="C91" s="47" t="s">
        <v>119</v>
      </c>
    </row>
    <row r="92" spans="2:3">
      <c r="B92" s="25">
        <v>44495</v>
      </c>
      <c r="C92" s="47" t="s">
        <v>120</v>
      </c>
    </row>
    <row r="93" spans="2:3">
      <c r="B93" s="25">
        <v>44497</v>
      </c>
      <c r="C93" s="47" t="s">
        <v>121</v>
      </c>
    </row>
    <row r="94" spans="2:3">
      <c r="B94" s="25">
        <v>44497</v>
      </c>
      <c r="C94" s="47" t="s">
        <v>122</v>
      </c>
    </row>
    <row r="95" spans="2:3">
      <c r="B95" s="25">
        <v>44508</v>
      </c>
      <c r="C95" s="47" t="s">
        <v>123</v>
      </c>
    </row>
    <row r="96" spans="2:3">
      <c r="B96" s="25">
        <v>44511</v>
      </c>
      <c r="C96" s="47" t="s">
        <v>124</v>
      </c>
    </row>
    <row r="97" spans="2:3">
      <c r="B97" s="25">
        <v>44516</v>
      </c>
      <c r="C97" s="47" t="s">
        <v>125</v>
      </c>
    </row>
    <row r="98" spans="2:3">
      <c r="B98" s="25">
        <v>44516</v>
      </c>
      <c r="C98" s="47" t="s">
        <v>126</v>
      </c>
    </row>
    <row r="99" spans="2:3">
      <c r="B99" s="25">
        <v>44516</v>
      </c>
      <c r="C99" s="47" t="s">
        <v>127</v>
      </c>
    </row>
    <row r="100" spans="2:3">
      <c r="B100" s="25">
        <v>44516</v>
      </c>
      <c r="C100" s="47" t="s">
        <v>129</v>
      </c>
    </row>
    <row r="101" spans="2:3">
      <c r="B101" s="25">
        <v>44517</v>
      </c>
      <c r="C101" s="47" t="s">
        <v>128</v>
      </c>
    </row>
  </sheetData>
  <mergeCells count="11">
    <mergeCell ref="A2:H2"/>
    <mergeCell ref="A3:H3"/>
    <mergeCell ref="C6:F6"/>
    <mergeCell ref="C7:F7"/>
    <mergeCell ref="C12:F12"/>
    <mergeCell ref="C13:F13"/>
    <mergeCell ref="C14:F14"/>
    <mergeCell ref="C8:F8"/>
    <mergeCell ref="C10:F10"/>
    <mergeCell ref="C11:F11"/>
    <mergeCell ref="C9:F9"/>
  </mergeCells>
  <phoneticPr fontId="2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tmgt07</dc:creator>
  <cp:lastModifiedBy>堀野 義博</cp:lastModifiedBy>
  <cp:lastPrinted>2021-09-09T00:02:55Z</cp:lastPrinted>
  <dcterms:created xsi:type="dcterms:W3CDTF">2015-06-05T18:19:34Z</dcterms:created>
  <dcterms:modified xsi:type="dcterms:W3CDTF">2021-11-19T02:15:29Z</dcterms:modified>
</cp:coreProperties>
</file>